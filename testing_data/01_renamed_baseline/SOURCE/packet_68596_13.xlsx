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ssimostoka/Downloads/"/>
    </mc:Choice>
  </mc:AlternateContent>
  <xr:revisionPtr revIDLastSave="0" documentId="13_ncr:1_{91DBDE90-C525-D644-95C0-2404BD6EBD94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RRG-10658" sheetId="1" r:id="rId1"/>
  </sheets>
  <definedNames>
    <definedName name="_xlnm._FilterDatabase" localSheetId="0" hidden="1">'RRG-10658'!$B$80:$V$80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" l="1"/>
  <c r="J85" i="1"/>
  <c r="J84" i="1"/>
  <c r="J83" i="1"/>
  <c r="J82" i="1"/>
  <c r="J81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Z86" i="1" l="1"/>
  <c r="Y86" i="1"/>
  <c r="W86" i="1"/>
  <c r="X86" i="1" s="1"/>
  <c r="M86" i="1"/>
  <c r="N86" i="1" s="1"/>
  <c r="G86" i="1"/>
  <c r="Z85" i="1"/>
  <c r="Y85" i="1"/>
  <c r="W85" i="1"/>
  <c r="X85" i="1" s="1"/>
  <c r="M85" i="1"/>
  <c r="N85" i="1" s="1"/>
  <c r="G85" i="1"/>
  <c r="Z84" i="1"/>
  <c r="Y84" i="1"/>
  <c r="W84" i="1"/>
  <c r="X84" i="1" s="1"/>
  <c r="M84" i="1"/>
  <c r="N84" i="1" s="1"/>
  <c r="G84" i="1"/>
  <c r="Z83" i="1"/>
  <c r="Y83" i="1"/>
  <c r="W83" i="1"/>
  <c r="M83" i="1"/>
  <c r="N83" i="1" s="1"/>
  <c r="G83" i="1"/>
  <c r="Z82" i="1"/>
  <c r="Y82" i="1"/>
  <c r="W82" i="1"/>
  <c r="X82" i="1" s="1"/>
  <c r="M82" i="1"/>
  <c r="N82" i="1" s="1"/>
  <c r="G82" i="1"/>
  <c r="Z81" i="1"/>
  <c r="Y81" i="1"/>
  <c r="W81" i="1"/>
  <c r="X81" i="1" s="1"/>
  <c r="M81" i="1"/>
  <c r="N81" i="1" s="1"/>
  <c r="G81" i="1"/>
  <c r="O81" i="1" s="1"/>
  <c r="W74" i="1"/>
  <c r="V74" i="1"/>
  <c r="T74" i="1"/>
  <c r="U74" i="1" s="1"/>
  <c r="M74" i="1"/>
  <c r="G74" i="1"/>
  <c r="W73" i="1"/>
  <c r="V73" i="1"/>
  <c r="T73" i="1"/>
  <c r="U73" i="1" s="1"/>
  <c r="M73" i="1"/>
  <c r="N73" i="1" s="1"/>
  <c r="G73" i="1"/>
  <c r="W72" i="1"/>
  <c r="V72" i="1"/>
  <c r="T72" i="1"/>
  <c r="U72" i="1" s="1"/>
  <c r="M72" i="1"/>
  <c r="N72" i="1" s="1"/>
  <c r="G72" i="1"/>
  <c r="W71" i="1"/>
  <c r="V71" i="1"/>
  <c r="T71" i="1"/>
  <c r="U71" i="1" s="1"/>
  <c r="M71" i="1"/>
  <c r="N71" i="1" s="1"/>
  <c r="G71" i="1"/>
  <c r="W70" i="1"/>
  <c r="V70" i="1"/>
  <c r="T70" i="1"/>
  <c r="U70" i="1" s="1"/>
  <c r="M70" i="1"/>
  <c r="N70" i="1" s="1"/>
  <c r="G70" i="1"/>
  <c r="W69" i="1"/>
  <c r="V69" i="1"/>
  <c r="T69" i="1"/>
  <c r="U69" i="1" s="1"/>
  <c r="M69" i="1"/>
  <c r="N69" i="1" s="1"/>
  <c r="G69" i="1"/>
  <c r="O69" i="1" s="1"/>
  <c r="W68" i="1"/>
  <c r="V68" i="1"/>
  <c r="T68" i="1"/>
  <c r="U68" i="1" s="1"/>
  <c r="M68" i="1"/>
  <c r="N68" i="1" s="1"/>
  <c r="G68" i="1"/>
  <c r="W67" i="1"/>
  <c r="V67" i="1"/>
  <c r="T67" i="1"/>
  <c r="U67" i="1" s="1"/>
  <c r="M67" i="1"/>
  <c r="N67" i="1" s="1"/>
  <c r="G67" i="1"/>
  <c r="O67" i="1" s="1"/>
  <c r="W66" i="1"/>
  <c r="V66" i="1"/>
  <c r="T66" i="1"/>
  <c r="U66" i="1" s="1"/>
  <c r="M66" i="1"/>
  <c r="N66" i="1" s="1"/>
  <c r="G66" i="1"/>
  <c r="W65" i="1"/>
  <c r="V65" i="1"/>
  <c r="T65" i="1"/>
  <c r="U65" i="1" s="1"/>
  <c r="M65" i="1"/>
  <c r="N65" i="1" s="1"/>
  <c r="G65" i="1"/>
  <c r="W64" i="1"/>
  <c r="V64" i="1"/>
  <c r="T64" i="1"/>
  <c r="U64" i="1" s="1"/>
  <c r="M64" i="1"/>
  <c r="N64" i="1" s="1"/>
  <c r="G64" i="1"/>
  <c r="W63" i="1"/>
  <c r="V63" i="1"/>
  <c r="T63" i="1"/>
  <c r="U63" i="1" s="1"/>
  <c r="M63" i="1"/>
  <c r="N63" i="1" s="1"/>
  <c r="G63" i="1"/>
  <c r="W62" i="1"/>
  <c r="V62" i="1"/>
  <c r="T62" i="1"/>
  <c r="U62" i="1" s="1"/>
  <c r="M62" i="1"/>
  <c r="N62" i="1" s="1"/>
  <c r="G62" i="1"/>
  <c r="W61" i="1"/>
  <c r="V61" i="1"/>
  <c r="T61" i="1"/>
  <c r="U61" i="1" s="1"/>
  <c r="M61" i="1"/>
  <c r="N61" i="1" s="1"/>
  <c r="G61" i="1"/>
  <c r="W60" i="1"/>
  <c r="V60" i="1"/>
  <c r="T60" i="1"/>
  <c r="U60" i="1" s="1"/>
  <c r="M60" i="1"/>
  <c r="N60" i="1" s="1"/>
  <c r="G60" i="1"/>
  <c r="W59" i="1"/>
  <c r="V59" i="1"/>
  <c r="T59" i="1"/>
  <c r="U59" i="1" s="1"/>
  <c r="M59" i="1"/>
  <c r="N59" i="1" s="1"/>
  <c r="G59" i="1"/>
  <c r="W58" i="1"/>
  <c r="V58" i="1"/>
  <c r="T58" i="1"/>
  <c r="U58" i="1" s="1"/>
  <c r="M58" i="1"/>
  <c r="G58" i="1"/>
  <c r="W57" i="1"/>
  <c r="V57" i="1"/>
  <c r="T57" i="1"/>
  <c r="U57" i="1" s="1"/>
  <c r="M57" i="1"/>
  <c r="G57" i="1"/>
  <c r="W56" i="1"/>
  <c r="V56" i="1"/>
  <c r="T56" i="1"/>
  <c r="U56" i="1" s="1"/>
  <c r="M56" i="1"/>
  <c r="G56" i="1"/>
  <c r="W55" i="1"/>
  <c r="V55" i="1"/>
  <c r="T55" i="1"/>
  <c r="U55" i="1" s="1"/>
  <c r="M55" i="1"/>
  <c r="G55" i="1"/>
  <c r="W54" i="1"/>
  <c r="V54" i="1"/>
  <c r="T54" i="1"/>
  <c r="U54" i="1" s="1"/>
  <c r="M54" i="1"/>
  <c r="G54" i="1"/>
  <c r="W53" i="1"/>
  <c r="V53" i="1"/>
  <c r="T53" i="1"/>
  <c r="U53" i="1" s="1"/>
  <c r="M53" i="1"/>
  <c r="G53" i="1"/>
  <c r="W52" i="1"/>
  <c r="V52" i="1"/>
  <c r="T52" i="1"/>
  <c r="M52" i="1"/>
  <c r="N52" i="1" s="1"/>
  <c r="G52" i="1"/>
  <c r="W51" i="1"/>
  <c r="V51" i="1"/>
  <c r="T51" i="1"/>
  <c r="U51" i="1" s="1"/>
  <c r="M51" i="1"/>
  <c r="N51" i="1" s="1"/>
  <c r="G51" i="1"/>
  <c r="W50" i="1"/>
  <c r="V50" i="1"/>
  <c r="T50" i="1"/>
  <c r="U50" i="1" s="1"/>
  <c r="M50" i="1"/>
  <c r="N50" i="1" s="1"/>
  <c r="G50" i="1"/>
  <c r="W49" i="1"/>
  <c r="V49" i="1"/>
  <c r="T49" i="1"/>
  <c r="U49" i="1" s="1"/>
  <c r="M49" i="1"/>
  <c r="N49" i="1" s="1"/>
  <c r="G49" i="1"/>
  <c r="W48" i="1"/>
  <c r="V48" i="1"/>
  <c r="T48" i="1"/>
  <c r="U48" i="1" s="1"/>
  <c r="M48" i="1"/>
  <c r="N48" i="1" s="1"/>
  <c r="G48" i="1"/>
  <c r="W47" i="1"/>
  <c r="V47" i="1"/>
  <c r="T47" i="1"/>
  <c r="U47" i="1" s="1"/>
  <c r="M47" i="1"/>
  <c r="N47" i="1" s="1"/>
  <c r="G47" i="1"/>
  <c r="W46" i="1"/>
  <c r="V46" i="1"/>
  <c r="T46" i="1"/>
  <c r="U46" i="1" s="1"/>
  <c r="M46" i="1"/>
  <c r="N46" i="1" s="1"/>
  <c r="G46" i="1"/>
  <c r="W45" i="1"/>
  <c r="V45" i="1"/>
  <c r="T45" i="1"/>
  <c r="U45" i="1" s="1"/>
  <c r="M45" i="1"/>
  <c r="N45" i="1" s="1"/>
  <c r="G45" i="1"/>
  <c r="O45" i="1" s="1"/>
  <c r="W44" i="1"/>
  <c r="V44" i="1"/>
  <c r="T44" i="1"/>
  <c r="U44" i="1" s="1"/>
  <c r="M44" i="1"/>
  <c r="N44" i="1" s="1"/>
  <c r="G44" i="1"/>
  <c r="W43" i="1"/>
  <c r="V43" i="1"/>
  <c r="T43" i="1"/>
  <c r="U43" i="1" s="1"/>
  <c r="M43" i="1"/>
  <c r="G43" i="1"/>
  <c r="W42" i="1"/>
  <c r="V42" i="1"/>
  <c r="T42" i="1"/>
  <c r="U42" i="1" s="1"/>
  <c r="M42" i="1"/>
  <c r="N42" i="1" s="1"/>
  <c r="G42" i="1"/>
  <c r="W41" i="1"/>
  <c r="V41" i="1"/>
  <c r="T41" i="1"/>
  <c r="U41" i="1" s="1"/>
  <c r="M41" i="1"/>
  <c r="N41" i="1" s="1"/>
  <c r="G41" i="1"/>
  <c r="W40" i="1"/>
  <c r="V40" i="1"/>
  <c r="T40" i="1"/>
  <c r="U40" i="1" s="1"/>
  <c r="M40" i="1"/>
  <c r="N40" i="1" s="1"/>
  <c r="G40" i="1"/>
  <c r="W39" i="1"/>
  <c r="V39" i="1"/>
  <c r="T39" i="1"/>
  <c r="U39" i="1" s="1"/>
  <c r="M39" i="1"/>
  <c r="N39" i="1" s="1"/>
  <c r="G39" i="1"/>
  <c r="W38" i="1"/>
  <c r="V38" i="1"/>
  <c r="T38" i="1"/>
  <c r="U38" i="1" s="1"/>
  <c r="M38" i="1"/>
  <c r="N38" i="1" s="1"/>
  <c r="G38" i="1"/>
  <c r="W37" i="1"/>
  <c r="V37" i="1"/>
  <c r="T37" i="1"/>
  <c r="U37" i="1" s="1"/>
  <c r="M37" i="1"/>
  <c r="N37" i="1" s="1"/>
  <c r="G37" i="1"/>
  <c r="O37" i="1" s="1"/>
  <c r="W30" i="1"/>
  <c r="V30" i="1"/>
  <c r="T30" i="1"/>
  <c r="U30" i="1" s="1"/>
  <c r="M30" i="1"/>
  <c r="N30" i="1" s="1"/>
  <c r="G30" i="1"/>
  <c r="W29" i="1"/>
  <c r="V29" i="1"/>
  <c r="T29" i="1"/>
  <c r="U29" i="1" s="1"/>
  <c r="M29" i="1"/>
  <c r="N29" i="1" s="1"/>
  <c r="G29" i="1"/>
  <c r="O29" i="1" s="1"/>
  <c r="W28" i="1"/>
  <c r="V28" i="1"/>
  <c r="T28" i="1"/>
  <c r="U28" i="1" s="1"/>
  <c r="M28" i="1"/>
  <c r="G28" i="1"/>
  <c r="W27" i="1"/>
  <c r="V27" i="1"/>
  <c r="T27" i="1"/>
  <c r="U27" i="1" s="1"/>
  <c r="M27" i="1"/>
  <c r="N27" i="1" s="1"/>
  <c r="G27" i="1"/>
  <c r="O27" i="1" s="1"/>
  <c r="W26" i="1"/>
  <c r="V26" i="1"/>
  <c r="T26" i="1"/>
  <c r="U26" i="1" s="1"/>
  <c r="M26" i="1"/>
  <c r="N26" i="1" s="1"/>
  <c r="G26" i="1"/>
  <c r="W25" i="1"/>
  <c r="V25" i="1"/>
  <c r="T25" i="1"/>
  <c r="U25" i="1" s="1"/>
  <c r="M25" i="1"/>
  <c r="N25" i="1" s="1"/>
  <c r="G25" i="1"/>
  <c r="O25" i="1" s="1"/>
  <c r="W24" i="1"/>
  <c r="V24" i="1"/>
  <c r="T24" i="1"/>
  <c r="U24" i="1" s="1"/>
  <c r="M24" i="1"/>
  <c r="G24" i="1"/>
  <c r="W23" i="1"/>
  <c r="V23" i="1"/>
  <c r="T23" i="1"/>
  <c r="U23" i="1" s="1"/>
  <c r="M23" i="1"/>
  <c r="N23" i="1" s="1"/>
  <c r="G23" i="1"/>
  <c r="W22" i="1"/>
  <c r="V22" i="1"/>
  <c r="T22" i="1"/>
  <c r="U22" i="1" s="1"/>
  <c r="M22" i="1"/>
  <c r="N22" i="1" s="1"/>
  <c r="G22" i="1"/>
  <c r="W21" i="1"/>
  <c r="V21" i="1"/>
  <c r="T21" i="1"/>
  <c r="U21" i="1" s="1"/>
  <c r="M21" i="1"/>
  <c r="G21" i="1"/>
  <c r="W20" i="1"/>
  <c r="V20" i="1"/>
  <c r="T20" i="1"/>
  <c r="U20" i="1" s="1"/>
  <c r="M20" i="1"/>
  <c r="N20" i="1" s="1"/>
  <c r="G20" i="1"/>
  <c r="W19" i="1"/>
  <c r="V19" i="1"/>
  <c r="T19" i="1"/>
  <c r="U19" i="1" s="1"/>
  <c r="M19" i="1"/>
  <c r="G19" i="1"/>
  <c r="W18" i="1"/>
  <c r="V18" i="1"/>
  <c r="T18" i="1"/>
  <c r="U18" i="1" s="1"/>
  <c r="M18" i="1"/>
  <c r="N18" i="1" s="1"/>
  <c r="G18" i="1"/>
  <c r="W17" i="1"/>
  <c r="V17" i="1"/>
  <c r="T17" i="1"/>
  <c r="M17" i="1"/>
  <c r="N17" i="1" s="1"/>
  <c r="G17" i="1"/>
  <c r="W16" i="1"/>
  <c r="V16" i="1"/>
  <c r="T16" i="1"/>
  <c r="U16" i="1" s="1"/>
  <c r="M16" i="1"/>
  <c r="N16" i="1" s="1"/>
  <c r="G16" i="1"/>
  <c r="W15" i="1"/>
  <c r="V15" i="1"/>
  <c r="T15" i="1"/>
  <c r="U15" i="1" s="1"/>
  <c r="M15" i="1"/>
  <c r="N15" i="1" s="1"/>
  <c r="G15" i="1"/>
  <c r="W14" i="1"/>
  <c r="V14" i="1"/>
  <c r="T14" i="1"/>
  <c r="U14" i="1" s="1"/>
  <c r="M14" i="1"/>
  <c r="N14" i="1" s="1"/>
  <c r="G14" i="1"/>
  <c r="W13" i="1"/>
  <c r="V13" i="1"/>
  <c r="T13" i="1"/>
  <c r="U13" i="1" s="1"/>
  <c r="M13" i="1"/>
  <c r="N13" i="1" s="1"/>
  <c r="G13" i="1"/>
  <c r="W12" i="1"/>
  <c r="V12" i="1"/>
  <c r="T12" i="1"/>
  <c r="U12" i="1" s="1"/>
  <c r="M12" i="1"/>
  <c r="N12" i="1" s="1"/>
  <c r="G12" i="1"/>
  <c r="W11" i="1"/>
  <c r="V11" i="1"/>
  <c r="T11" i="1"/>
  <c r="U11" i="1" s="1"/>
  <c r="M11" i="1"/>
  <c r="N11" i="1" s="1"/>
  <c r="G11" i="1"/>
  <c r="W10" i="1"/>
  <c r="V10" i="1"/>
  <c r="T10" i="1"/>
  <c r="U10" i="1" s="1"/>
  <c r="M10" i="1"/>
  <c r="G10" i="1"/>
  <c r="W9" i="1"/>
  <c r="V9" i="1"/>
  <c r="T9" i="1"/>
  <c r="U9" i="1" s="1"/>
  <c r="M9" i="1"/>
  <c r="N9" i="1" s="1"/>
  <c r="G9" i="1"/>
  <c r="O9" i="1" s="1"/>
  <c r="W8" i="1"/>
  <c r="V8" i="1"/>
  <c r="T8" i="1"/>
  <c r="U8" i="1" s="1"/>
  <c r="M8" i="1"/>
  <c r="N8" i="1" s="1"/>
  <c r="G8" i="1"/>
  <c r="W7" i="1"/>
  <c r="V7" i="1"/>
  <c r="T7" i="1"/>
  <c r="U7" i="1" s="1"/>
  <c r="M7" i="1"/>
  <c r="N7" i="1" s="1"/>
  <c r="G7" i="1"/>
  <c r="W6" i="1"/>
  <c r="V6" i="1"/>
  <c r="T6" i="1"/>
  <c r="U6" i="1" s="1"/>
  <c r="M6" i="1"/>
  <c r="N6" i="1" s="1"/>
  <c r="G6" i="1"/>
  <c r="O73" i="1" l="1"/>
  <c r="O23" i="1"/>
  <c r="X45" i="1"/>
  <c r="X73" i="1"/>
  <c r="X23" i="1"/>
  <c r="O46" i="1"/>
  <c r="P46" i="1" s="1"/>
  <c r="O41" i="1"/>
  <c r="P41" i="1" s="1"/>
  <c r="O50" i="1"/>
  <c r="X50" i="1" s="1"/>
  <c r="O52" i="1"/>
  <c r="P52" i="1" s="1"/>
  <c r="O58" i="1"/>
  <c r="P58" i="1" s="1"/>
  <c r="O62" i="1"/>
  <c r="P62" i="1" s="1"/>
  <c r="O64" i="1"/>
  <c r="X64" i="1" s="1"/>
  <c r="O84" i="1"/>
  <c r="AA84" i="1" s="1"/>
  <c r="O10" i="1"/>
  <c r="X10" i="1" s="1"/>
  <c r="O12" i="1"/>
  <c r="P12" i="1" s="1"/>
  <c r="O14" i="1"/>
  <c r="X14" i="1" s="1"/>
  <c r="O16" i="1"/>
  <c r="X16" i="1" s="1"/>
  <c r="O18" i="1"/>
  <c r="X18" i="1" s="1"/>
  <c r="O24" i="1"/>
  <c r="O26" i="1"/>
  <c r="P26" i="1" s="1"/>
  <c r="O42" i="1"/>
  <c r="P42" i="1" s="1"/>
  <c r="O44" i="1"/>
  <c r="P44" i="1" s="1"/>
  <c r="O48" i="1"/>
  <c r="X48" i="1" s="1"/>
  <c r="O66" i="1"/>
  <c r="P66" i="1" s="1"/>
  <c r="O74" i="1"/>
  <c r="X74" i="1" s="1"/>
  <c r="O43" i="1"/>
  <c r="P43" i="1" s="1"/>
  <c r="O38" i="1"/>
  <c r="P38" i="1" s="1"/>
  <c r="O11" i="1"/>
  <c r="P11" i="1" s="1"/>
  <c r="O17" i="1"/>
  <c r="P17" i="1" s="1"/>
  <c r="O61" i="1"/>
  <c r="P61" i="1" s="1"/>
  <c r="O72" i="1"/>
  <c r="X72" i="1" s="1"/>
  <c r="O15" i="1"/>
  <c r="X15" i="1" s="1"/>
  <c r="O59" i="1"/>
  <c r="X59" i="1" s="1"/>
  <c r="N43" i="1"/>
  <c r="O21" i="1"/>
  <c r="P21" i="1" s="1"/>
  <c r="O7" i="1"/>
  <c r="P7" i="1" s="1"/>
  <c r="O30" i="1"/>
  <c r="X30" i="1" s="1"/>
  <c r="O39" i="1"/>
  <c r="P39" i="1" s="1"/>
  <c r="O51" i="1"/>
  <c r="X51" i="1" s="1"/>
  <c r="O70" i="1"/>
  <c r="P70" i="1" s="1"/>
  <c r="O83" i="1"/>
  <c r="AA83" i="1" s="1"/>
  <c r="O85" i="1"/>
  <c r="AA85" i="1" s="1"/>
  <c r="P45" i="1"/>
  <c r="O55" i="1"/>
  <c r="X55" i="1" s="1"/>
  <c r="O22" i="1"/>
  <c r="P23" i="1"/>
  <c r="O8" i="1"/>
  <c r="X8" i="1" s="1"/>
  <c r="O13" i="1"/>
  <c r="X13" i="1" s="1"/>
  <c r="O40" i="1"/>
  <c r="P40" i="1" s="1"/>
  <c r="O54" i="1"/>
  <c r="P54" i="1" s="1"/>
  <c r="O56" i="1"/>
  <c r="P56" i="1" s="1"/>
  <c r="O63" i="1"/>
  <c r="P63" i="1" s="1"/>
  <c r="O68" i="1"/>
  <c r="P68" i="1" s="1"/>
  <c r="O71" i="1"/>
  <c r="P71" i="1" s="1"/>
  <c r="O57" i="1"/>
  <c r="X57" i="1" s="1"/>
  <c r="N74" i="1"/>
  <c r="O86" i="1"/>
  <c r="P86" i="1" s="1"/>
  <c r="O28" i="1"/>
  <c r="X28" i="1" s="1"/>
  <c r="O49" i="1"/>
  <c r="X49" i="1" s="1"/>
  <c r="X46" i="1"/>
  <c r="O20" i="1"/>
  <c r="P20" i="1" s="1"/>
  <c r="O65" i="1"/>
  <c r="X65" i="1" s="1"/>
  <c r="P29" i="1"/>
  <c r="X29" i="1"/>
  <c r="P27" i="1"/>
  <c r="X27" i="1"/>
  <c r="P69" i="1"/>
  <c r="X69" i="1"/>
  <c r="P81" i="1"/>
  <c r="AA81" i="1"/>
  <c r="P67" i="1"/>
  <c r="X67" i="1"/>
  <c r="P24" i="1"/>
  <c r="X24" i="1"/>
  <c r="P25" i="1"/>
  <c r="X25" i="1"/>
  <c r="P37" i="1"/>
  <c r="X37" i="1"/>
  <c r="X9" i="1"/>
  <c r="P9" i="1"/>
  <c r="O60" i="1"/>
  <c r="U17" i="1"/>
  <c r="N21" i="1"/>
  <c r="O47" i="1"/>
  <c r="U52" i="1"/>
  <c r="N58" i="1"/>
  <c r="P73" i="1"/>
  <c r="O82" i="1"/>
  <c r="X83" i="1"/>
  <c r="N28" i="1"/>
  <c r="X17" i="1"/>
  <c r="N19" i="1"/>
  <c r="N53" i="1"/>
  <c r="N54" i="1"/>
  <c r="N55" i="1"/>
  <c r="N56" i="1"/>
  <c r="N57" i="1"/>
  <c r="O19" i="1"/>
  <c r="N24" i="1"/>
  <c r="O53" i="1"/>
  <c r="N10" i="1"/>
  <c r="O6" i="1"/>
  <c r="X62" i="1" l="1"/>
  <c r="X41" i="1"/>
  <c r="P50" i="1"/>
  <c r="X42" i="1"/>
  <c r="X44" i="1"/>
  <c r="X52" i="1"/>
  <c r="X43" i="1"/>
  <c r="X26" i="1"/>
  <c r="X11" i="1"/>
  <c r="X61" i="1"/>
  <c r="P18" i="1"/>
  <c r="P83" i="1"/>
  <c r="P74" i="1"/>
  <c r="P59" i="1"/>
  <c r="X58" i="1"/>
  <c r="P64" i="1"/>
  <c r="X54" i="1"/>
  <c r="X66" i="1"/>
  <c r="X12" i="1"/>
  <c r="P10" i="1"/>
  <c r="P16" i="1"/>
  <c r="P48" i="1"/>
  <c r="P14" i="1"/>
  <c r="P84" i="1"/>
  <c r="X38" i="1"/>
  <c r="X7" i="1"/>
  <c r="P30" i="1"/>
  <c r="P65" i="1"/>
  <c r="P15" i="1"/>
  <c r="AA86" i="1"/>
  <c r="X71" i="1"/>
  <c r="P72" i="1"/>
  <c r="X56" i="1"/>
  <c r="X70" i="1"/>
  <c r="P85" i="1"/>
  <c r="P49" i="1"/>
  <c r="X20" i="1"/>
  <c r="P13" i="1"/>
  <c r="P57" i="1"/>
  <c r="P28" i="1"/>
  <c r="P55" i="1"/>
  <c r="X22" i="1"/>
  <c r="P22" i="1"/>
  <c r="X40" i="1"/>
  <c r="P51" i="1"/>
  <c r="X39" i="1"/>
  <c r="X21" i="1"/>
  <c r="P8" i="1"/>
  <c r="X68" i="1"/>
  <c r="X63" i="1"/>
  <c r="X47" i="1"/>
  <c r="P47" i="1"/>
  <c r="P53" i="1"/>
  <c r="X53" i="1"/>
  <c r="X60" i="1"/>
  <c r="P60" i="1"/>
  <c r="P19" i="1"/>
  <c r="X19" i="1"/>
  <c r="X6" i="1"/>
  <c r="P6" i="1"/>
  <c r="AA82" i="1"/>
  <c r="P82" i="1"/>
</calcChain>
</file>

<file path=xl/sharedStrings.xml><?xml version="1.0" encoding="utf-8"?>
<sst xmlns="http://schemas.openxmlformats.org/spreadsheetml/2006/main" count="418" uniqueCount="213">
  <si>
    <t>Lease Renewals</t>
  </si>
  <si>
    <t>Resident Name</t>
  </si>
  <si>
    <t>Unit Type</t>
  </si>
  <si>
    <t>Sqft</t>
  </si>
  <si>
    <t>Unit</t>
  </si>
  <si>
    <t>Renewal Start</t>
  </si>
  <si>
    <t>Lease Term</t>
  </si>
  <si>
    <t>Market Rent</t>
  </si>
  <si>
    <t>Lease Rent</t>
  </si>
  <si>
    <t>Up-Front Concessions</t>
  </si>
  <si>
    <t>Total Recurring Concessions</t>
  </si>
  <si>
    <t>Total Concessions</t>
  </si>
  <si>
    <t># Months Free</t>
  </si>
  <si>
    <t>Effective Rent</t>
  </si>
  <si>
    <t>Eff Rent PSF</t>
  </si>
  <si>
    <t>Rent Change</t>
  </si>
  <si>
    <t>% Change</t>
  </si>
  <si>
    <t>Eff Rent % Change</t>
  </si>
  <si>
    <t>New Lease Term</t>
  </si>
  <si>
    <t>Previous Lease Term</t>
  </si>
  <si>
    <t>William Cortez</t>
  </si>
  <si>
    <t>4735C222</t>
  </si>
  <si>
    <t>Eric Trevino</t>
  </si>
  <si>
    <t>4775A207</t>
  </si>
  <si>
    <t xml:space="preserve">BWK.A2  </t>
  </si>
  <si>
    <t>Dana Marchman</t>
  </si>
  <si>
    <t>Leases Expiring between 2026-04-01 and 2026-06-30</t>
  </si>
  <si>
    <t>Martha Vazquez Cervantes</t>
  </si>
  <si>
    <t>4655J265</t>
  </si>
  <si>
    <t>4665K170</t>
  </si>
  <si>
    <t>Montra Williams</t>
  </si>
  <si>
    <t>Taylin Campbell</t>
  </si>
  <si>
    <t>4705L280</t>
  </si>
  <si>
    <t>4705L273</t>
  </si>
  <si>
    <t>4654L166</t>
  </si>
  <si>
    <t>Jeanna Thiel</t>
  </si>
  <si>
    <t>4658M172</t>
  </si>
  <si>
    <t>4675E233</t>
  </si>
  <si>
    <t>Carolynn Jones</t>
  </si>
  <si>
    <t xml:space="preserve">BWK.B1  </t>
  </si>
  <si>
    <t>The Boardwalk</t>
  </si>
  <si>
    <t>4715D128</t>
  </si>
  <si>
    <t>Nicole Hill</t>
  </si>
  <si>
    <t>Justin Fiore</t>
  </si>
  <si>
    <t xml:space="preserve">BWK.A1  </t>
  </si>
  <si>
    <t>4635I258</t>
  </si>
  <si>
    <t>4715D125</t>
  </si>
  <si>
    <t>Shayne Small</t>
  </si>
  <si>
    <t>Jessena Wright</t>
  </si>
  <si>
    <t xml:space="preserve">BWK.B0  </t>
  </si>
  <si>
    <t>Wilgardie Jean</t>
  </si>
  <si>
    <t>4650K160</t>
  </si>
  <si>
    <t>4640H244</t>
  </si>
  <si>
    <t>4755B211</t>
  </si>
  <si>
    <t>Brianna Pileeki</t>
  </si>
  <si>
    <t>4755B112</t>
  </si>
  <si>
    <t>Dondre Phillips-Ingraham</t>
  </si>
  <si>
    <t>4755B110</t>
  </si>
  <si>
    <t>Marissa Flematti</t>
  </si>
  <si>
    <t>Beverly Mathias</t>
  </si>
  <si>
    <t>Lease Start</t>
  </si>
  <si>
    <t>Move Ins</t>
  </si>
  <si>
    <t>Unit Transfers</t>
  </si>
  <si>
    <t>4622B206</t>
  </si>
  <si>
    <t>Francisco Padilla</t>
  </si>
  <si>
    <t>4632F124</t>
  </si>
  <si>
    <t>Rosita Soto</t>
  </si>
  <si>
    <t xml:space="preserve">BWK.C1  </t>
  </si>
  <si>
    <t>4645F240</t>
  </si>
  <si>
    <t>Izana St Marc</t>
  </si>
  <si>
    <t>4640H246</t>
  </si>
  <si>
    <t>Stephen Nigro</t>
  </si>
  <si>
    <t xml:space="preserve">BWK.C2  </t>
  </si>
  <si>
    <t>4636G133</t>
  </si>
  <si>
    <t>Rodis Martel</t>
  </si>
  <si>
    <t>4615G247</t>
  </si>
  <si>
    <t>4632F224</t>
  </si>
  <si>
    <t>Genet Destra</t>
  </si>
  <si>
    <t>4636G132</t>
  </si>
  <si>
    <t>Miracle Herring</t>
  </si>
  <si>
    <t xml:space="preserve">BWK.B2  </t>
  </si>
  <si>
    <t>Demarcus Abrams</t>
  </si>
  <si>
    <t>4650K163</t>
  </si>
  <si>
    <t>4675E234</t>
  </si>
  <si>
    <t xml:space="preserve">BWK.S1  </t>
  </si>
  <si>
    <t>4640H240</t>
  </si>
  <si>
    <t>Andres Perez</t>
  </si>
  <si>
    <t>4654L265</t>
  </si>
  <si>
    <t>Richard Stabile</t>
  </si>
  <si>
    <t>4662N183</t>
  </si>
  <si>
    <t>Margaret Gonzalez</t>
  </si>
  <si>
    <t>4662N280</t>
  </si>
  <si>
    <t>Sherry Roberts</t>
  </si>
  <si>
    <t xml:space="preserve">BWK.S2  </t>
  </si>
  <si>
    <t>4715D126</t>
  </si>
  <si>
    <t>Robert Koenigs</t>
  </si>
  <si>
    <t>4755B111</t>
  </si>
  <si>
    <t>Jake Robson</t>
  </si>
  <si>
    <t>4775A205</t>
  </si>
  <si>
    <t>Move In between 2026-04-01 and 2026-06-30</t>
  </si>
  <si>
    <t>Olga Jasinska</t>
  </si>
  <si>
    <t>4715D130</t>
  </si>
  <si>
    <t>4755B213</t>
  </si>
  <si>
    <t>Ronald Fernandez Lay</t>
  </si>
  <si>
    <t>4775A103</t>
  </si>
  <si>
    <t>Abby Lyman</t>
  </si>
  <si>
    <t>4654L164</t>
  </si>
  <si>
    <t>Laci Wilkinson</t>
  </si>
  <si>
    <t>4654L266</t>
  </si>
  <si>
    <t>Murad Yunusov</t>
  </si>
  <si>
    <t>4654L269</t>
  </si>
  <si>
    <t>Matheus Fiuza</t>
  </si>
  <si>
    <t>4666O187</t>
  </si>
  <si>
    <t>David Westberry</t>
  </si>
  <si>
    <t>4666O287</t>
  </si>
  <si>
    <t>Josiah Bravo-Vasquez</t>
  </si>
  <si>
    <t>4635I255</t>
  </si>
  <si>
    <t>Annie Stones</t>
  </si>
  <si>
    <t>4635I260</t>
  </si>
  <si>
    <t>Contina Brand</t>
  </si>
  <si>
    <t>4655J261</t>
  </si>
  <si>
    <t>Vivian Corrales</t>
  </si>
  <si>
    <t>4665K168</t>
  </si>
  <si>
    <t>Asiah Brazil-Geyshick</t>
  </si>
  <si>
    <t>4665K268</t>
  </si>
  <si>
    <t>Sharmaine Brown</t>
  </si>
  <si>
    <t>4675E138</t>
  </si>
  <si>
    <t>Grace Brown</t>
  </si>
  <si>
    <t>4622B105</t>
  </si>
  <si>
    <t>Jeremya Summers</t>
  </si>
  <si>
    <t>4622B107</t>
  </si>
  <si>
    <t>Maria Torres Bauza</t>
  </si>
  <si>
    <t>4622B208</t>
  </si>
  <si>
    <t>Joseph Yurkewitch</t>
  </si>
  <si>
    <t>4628E121</t>
  </si>
  <si>
    <t>Audra Niles</t>
  </si>
  <si>
    <t>4632F125</t>
  </si>
  <si>
    <t>Janette Talluto</t>
  </si>
  <si>
    <t xml:space="preserve">BWK.B3  </t>
  </si>
  <si>
    <t>4626D216</t>
  </si>
  <si>
    <t>Jasmine Munoz</t>
  </si>
  <si>
    <t>4644I153</t>
  </si>
  <si>
    <t>Adrian Luna</t>
  </si>
  <si>
    <t>4645F142</t>
  </si>
  <si>
    <t>Meghan Brinker</t>
  </si>
  <si>
    <t>4636G231</t>
  </si>
  <si>
    <t>Cara-Constancia Hinds</t>
  </si>
  <si>
    <t>4640H138</t>
  </si>
  <si>
    <t>John Parrott</t>
  </si>
  <si>
    <t>4640H235</t>
  </si>
  <si>
    <t>Anthony Santiago</t>
  </si>
  <si>
    <t>4640H245</t>
  </si>
  <si>
    <t>Marcus Stanley</t>
  </si>
  <si>
    <t>4644I149</t>
  </si>
  <si>
    <t>Briyarn Beauflan</t>
  </si>
  <si>
    <t>4644I151</t>
  </si>
  <si>
    <t>Janessa Gonzalez</t>
  </si>
  <si>
    <t>4648J257</t>
  </si>
  <si>
    <t>Valde Valdory</t>
  </si>
  <si>
    <t>4650K263</t>
  </si>
  <si>
    <t>Joshua Dinguis</t>
  </si>
  <si>
    <t>4654L165</t>
  </si>
  <si>
    <t>Gregory Mcmurrin</t>
  </si>
  <si>
    <t>4658M171</t>
  </si>
  <si>
    <t>Moses De La Paz</t>
  </si>
  <si>
    <t>4662N180</t>
  </si>
  <si>
    <t>Mia C Lane</t>
  </si>
  <si>
    <t>4715D226</t>
  </si>
  <si>
    <t>Uttej Kumar Pentapati</t>
  </si>
  <si>
    <t>4735C123</t>
  </si>
  <si>
    <t>Cade Schwegman</t>
  </si>
  <si>
    <t>4755B217</t>
  </si>
  <si>
    <t>Abigail Cole</t>
  </si>
  <si>
    <t>4735C221</t>
  </si>
  <si>
    <t>4665K167</t>
  </si>
  <si>
    <t>Diana Cardena Betancur</t>
  </si>
  <si>
    <t>4650K262</t>
  </si>
  <si>
    <t>4625H252</t>
  </si>
  <si>
    <t>Lease Renewals Gross Rent PSF</t>
  </si>
  <si>
    <t>Lease Renewals Eff Rent PSF</t>
  </si>
  <si>
    <t>New Lease Gross Rent PSF</t>
  </si>
  <si>
    <t>New Lease EFF Rent PSF</t>
  </si>
  <si>
    <t>Unit Transfers Gross Rent PSF</t>
  </si>
  <si>
    <t>Unit Transfers EFF Rent PSF</t>
  </si>
  <si>
    <t>Lease Rent2</t>
  </si>
  <si>
    <t>Total Concessions3</t>
  </si>
  <si>
    <t>Lease Term4</t>
  </si>
  <si>
    <t>Effective Rent5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</si>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</sst>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4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0" xfId="0" applyFill="1"/>
    <xf numFmtId="164" fontId="0" fillId="3" borderId="5" xfId="0" applyNumberFormat="1" applyFill="1" applyBorder="1"/>
    <xf numFmtId="0" fontId="0" fillId="2" borderId="0" xfId="0" applyFill="1"/>
    <xf numFmtId="164" fontId="0" fillId="2" borderId="0" xfId="0" applyNumberFormat="1" applyFill="1"/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63">
    <dxf>
      <numFmt numFmtId="13" formatCode="0%"/>
    </dxf>
    <dxf>
      <numFmt numFmtId="14" formatCode="0.00%"/>
    </dxf>
    <dxf>
      <numFmt numFmtId="164" formatCode="&quot;$&quot;#,##0.00"/>
    </dxf>
    <dxf>
      <numFmt numFmtId="164" formatCode="&quot;$&quot;#,##0.00"/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&quot;$&quot;#,##0.0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64" formatCode="&quot;$&quot;#,##0.00"/>
      <fill>
        <patternFill patternType="solid">
          <fgColor indexed="64"/>
          <bgColor rgb="FFFFCCFF"/>
        </patternFill>
      </fill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&quot;$&quot;#,##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  <fill>
        <patternFill patternType="solid">
          <fgColor indexed="64"/>
          <bgColor rgb="FFFF66FF"/>
        </patternFill>
      </fill>
    </dxf>
    <dxf>
      <numFmt numFmtId="164" formatCode="&quot;$&quot;#,##0.00"/>
    </dxf>
    <dxf>
      <numFmt numFmtId="164" formatCode="&quot;$&quot;#,##0.00"/>
    </dxf>
    <dxf>
      <numFmt numFmtId="19" formatCode="m/d/yy"/>
    </dxf>
    <dxf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top style="thin">
          <color auto="1"/>
        </top>
      </border>
    </dxf>
    <dxf>
      <numFmt numFmtId="13" formatCode="0%"/>
    </dxf>
    <dxf>
      <numFmt numFmtId="14" formatCode="0.00%"/>
    </dxf>
    <dxf>
      <numFmt numFmtId="164" formatCode="&quot;$&quot;#,##0.00"/>
    </dxf>
    <dxf>
      <numFmt numFmtId="164" formatCode="&quot;$&quot;#,##0.00"/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&quot;$&quot;#,##0.00"/>
    </dxf>
    <dxf>
      <numFmt numFmtId="1" formatCode="0"/>
    </dxf>
    <dxf>
      <numFmt numFmtId="164" formatCode="&quot;$&quot;#,##0.00"/>
    </dxf>
    <dxf>
      <numFmt numFmtId="164" formatCode="&quot;$&quot;#,##0.00"/>
    </dxf>
    <dxf>
      <border diagonalUp="0" diagonalDown="0">
        <left style="thin">
          <color auto="1"/>
        </left>
        <right/>
        <top/>
        <bottom/>
        <vertical/>
        <horizontal/>
      </border>
    </dxf>
    <dxf>
      <numFmt numFmtId="164" formatCode="&quot;$&quot;#,##0.00"/>
      <fill>
        <patternFill patternType="solid">
          <fgColor indexed="64"/>
          <bgColor rgb="FFFFCCFF"/>
        </patternFill>
      </fill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&quot;$&quot;#,##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  <fill>
        <patternFill patternType="solid">
          <fgColor indexed="64"/>
          <bgColor rgb="FFFF66FF"/>
        </patternFill>
      </fill>
    </dxf>
    <dxf>
      <numFmt numFmtId="164" formatCode="&quot;$&quot;#,##0.00"/>
    </dxf>
    <dxf>
      <numFmt numFmtId="164" formatCode="&quot;$&quot;#,##0.00"/>
    </dxf>
    <dxf>
      <numFmt numFmtId="19" formatCode="m/d/yy"/>
    </dxf>
    <dxf>
      <border diagonalUp="0" diagonalDown="0">
        <left/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/>
        <top/>
        <bottom/>
        <vertical/>
        <horizontal/>
      </border>
    </dxf>
    <dxf>
      <numFmt numFmtId="13" formatCode="0%"/>
    </dxf>
    <dxf>
      <numFmt numFmtId="14" formatCode="0.00%"/>
    </dxf>
    <dxf>
      <numFmt numFmtId="164" formatCode="&quot;$&quot;#,##0.00"/>
    </dxf>
    <dxf>
      <numFmt numFmtId="164" formatCode="&quot;$&quot;#,##0.00"/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&quot;$&quot;#,##0.0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64" formatCode="&quot;$&quot;#,##0.00"/>
      <fill>
        <patternFill patternType="solid">
          <fgColor indexed="64"/>
          <bgColor rgb="FFFFCCFF"/>
        </patternFill>
      </fill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&quot;$&quot;#,##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  <fill>
        <patternFill patternType="solid">
          <fgColor indexed="64"/>
          <bgColor rgb="FFFF66FF"/>
        </patternFill>
      </fill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9" formatCode="m/d/yy"/>
    </dxf>
    <dxf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66FF"/>
      <color rgb="FFFFCCFF"/>
      <color rgb="FFC64F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4D878-8AF8-4741-A673-AEC3AEEEE0BE}" name="Table1" displayName="Table1" ref="B5:X30" totalsRowShown="0" headerRowDxfId="62" headerRowBorderDxfId="61">
  <autoFilter ref="B5:X30" xr:uid="{8B44D878-8AF8-4741-A673-AEC3AEEEE0BE}">
    <filterColumn colId="17">
      <filters>
        <filter val="12"/>
      </filters>
    </filterColumn>
  </autoFilter>
  <tableColumns count="23">
    <tableColumn id="1" xr3:uid="{3F27E9C0-83F1-DD49-BBBE-B0B45B8D883B}" name="Resident Name"/>
    <tableColumn id="2" xr3:uid="{3D8A335F-6209-2F45-BF6F-955C54994A8B}" name="Unit Type"/>
    <tableColumn id="3" xr3:uid="{63C63F8C-9F99-834B-8D65-E5C9506E6DA8}" name="Sqft"/>
    <tableColumn id="4" xr3:uid="{10D44D31-BCEC-3E43-B070-FEE97C4F3BE4}" name="Unit" dataDxfId="60"/>
    <tableColumn id="5" xr3:uid="{398554CB-9D9E-4348-AA87-61E78288CB22}" name="Renewal Start" dataDxfId="59"/>
    <tableColumn id="6" xr3:uid="{241A3C06-2AF3-344D-A925-F18D53AC86AE}" name="Lease Term" dataDxfId="58">
      <calculatedColumnFormula>ROUND((AC6-AB6)/30,0)</calculatedColumnFormula>
    </tableColumn>
    <tableColumn id="7" xr3:uid="{24E13FDA-4229-7B48-B983-2A7717CFF7C8}" name="Market Rent" dataDxfId="57"/>
    <tableColumn id="8" xr3:uid="{EA625B50-127D-7A4A-B7D0-AC8A8598959A}" name="Lease Rent" dataDxfId="56"/>
    <tableColumn id="9" xr3:uid="{60C96EAB-65C4-BE4F-A529-1208708B6D81}" name="Lease Renewals Gross Rent PSF" dataDxfId="55">
      <calculatedColumnFormula>I6/D6</calculatedColumnFormula>
    </tableColumn>
    <tableColumn id="10" xr3:uid="{006D69B4-4CAE-AD45-B9F5-E8BC7F8AB71C}" name="Up-Front Concessions" dataDxfId="54"/>
    <tableColumn id="11" xr3:uid="{E58C17F2-83E6-5942-9579-169BA746B9EE}" name="Total Recurring Concessions" dataDxfId="53"/>
    <tableColumn id="12" xr3:uid="{13A04FEE-A1DE-F644-B887-E60ED85505F8}" name="Total Concessions" dataDxfId="52">
      <calculatedColumnFormula>K6+L6</calculatedColumnFormula>
    </tableColumn>
    <tableColumn id="13" xr3:uid="{DC0B476B-D5B1-6B4F-AFF8-C9562C9E52FB}" name="# Months Free" dataDxfId="51">
      <calculatedColumnFormula>IFERROR(M6/I6,0)</calculatedColumnFormula>
    </tableColumn>
    <tableColumn id="14" xr3:uid="{7B5B6BF5-3DD0-D745-926C-9736E577AB53}" name="Effective Rent" dataDxfId="50">
      <calculatedColumnFormula>IFERROR(((I6*G6)-M6)/G6,0)</calculatedColumnFormula>
    </tableColumn>
    <tableColumn id="15" xr3:uid="{2688153B-92A8-A747-A591-03714E10A1D6}" name="Lease Renewals Eff Rent PSF" dataDxfId="49">
      <calculatedColumnFormula>IFERROR(O6/D6,0)</calculatedColumnFormula>
    </tableColumn>
    <tableColumn id="16" xr3:uid="{B0C11DF1-5808-994C-8388-1FEAE3B9C042}" name="Lease Rent2" dataDxfId="48"/>
    <tableColumn id="17" xr3:uid="{3FCC66DD-441C-BD47-B3B3-17CFE9E66C5A}" name="Total Concessions3" dataDxfId="47"/>
    <tableColumn id="18" xr3:uid="{B0B505BE-0559-724D-A5CC-077B749C9512}" name="Lease Term4" dataDxfId="46"/>
    <tableColumn id="19" xr3:uid="{7302F4E5-1C34-7D40-9818-D041F7114609}" name="Effective Rent5" dataDxfId="45">
      <calculatedColumnFormula>IFERROR(((Q6*S6)-R6)/S6,0)</calculatedColumnFormula>
    </tableColumn>
    <tableColumn id="20" xr3:uid="{5DAC33EA-5E9C-274B-8AA6-FDDE9E9D63E3}" name="Eff Rent PSF" dataDxfId="44">
      <calculatedColumnFormula>IFERROR(T6/D6,0)</calculatedColumnFormula>
    </tableColumn>
    <tableColumn id="21" xr3:uid="{48547657-7AED-CA40-A3AE-63C572A9902B}" name="Rent Change" dataDxfId="43">
      <calculatedColumnFormula>I6-Q6</calculatedColumnFormula>
    </tableColumn>
    <tableColumn id="22" xr3:uid="{7686E573-7F3A-BD4E-8A7B-BD431D4751B7}" name="% Change" dataDxfId="42">
      <calculatedColumnFormula>IFERROR((I6-Q6)/Q6,0)</calculatedColumnFormula>
    </tableColumn>
    <tableColumn id="23" xr3:uid="{98A41F9C-491C-2045-8B0E-14ED8EABD063}" name="Eff Rent % Change" dataDxfId="41">
      <calculatedColumnFormula>IFERROR((O6-T6)/T6,0)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2485A-0FAB-7443-B2C0-F33614C96463}" name="Table2" displayName="Table2" ref="A79:AA86" totalsRowShown="0">
  <autoFilter ref="A79:AA86" xr:uid="{ACE2485A-0FAB-7443-B2C0-F33614C96463}">
    <filterColumn colId="6">
      <filters>
        <filter val="12"/>
        <filter val="Lease Term"/>
      </filters>
    </filterColumn>
    <filterColumn colId="21">
      <filters>
        <filter val="12"/>
        <filter val="Lease Term"/>
      </filters>
    </filterColumn>
  </autoFilter>
  <tableColumns count="27">
    <tableColumn id="1" xr3:uid="{2ED56AF4-ED8B-9C46-A472-30B23B553D40}" name="Column1"/>
    <tableColumn id="2" xr3:uid="{B30C46AE-8706-C14F-A526-6B6D9ABA22C0}" name="Column2"/>
    <tableColumn id="3" xr3:uid="{1CF9ADAB-1486-834D-A7F6-B3BB2C05952B}" name="Column3" dataDxfId="40"/>
    <tableColumn id="4" xr3:uid="{1EAE2D05-C986-664D-81FD-4BBDCDC5B8EB}" name="Column4"/>
    <tableColumn id="5" xr3:uid="{1005C620-83AA-8A48-9183-C2FE094D1637}" name="Column5" dataDxfId="39"/>
    <tableColumn id="6" xr3:uid="{50117F34-F82E-444C-9098-432469D1468E}" name="New Lease Term" dataDxfId="38"/>
    <tableColumn id="7" xr3:uid="{56ED8CE8-5C31-3B48-97E3-1041F1D53A36}" name="Column6">
      <calculatedColumnFormula>ROUND((AC80-AB80)/30,0)</calculatedColumnFormula>
    </tableColumn>
    <tableColumn id="8" xr3:uid="{8633B4D8-BF44-C448-A28A-3CF242B51E54}" name="Column7" dataDxfId="37"/>
    <tableColumn id="9" xr3:uid="{189340D0-E92A-EC4B-BB46-348F3877419E}" name="Column8" dataDxfId="36"/>
    <tableColumn id="10" xr3:uid="{BC95C032-4451-6B47-9733-3CB90940376C}" name="Column9" dataDxfId="35">
      <calculatedColumnFormula>I80/D80</calculatedColumnFormula>
    </tableColumn>
    <tableColumn id="11" xr3:uid="{7C9DB039-CF53-AF4B-BF3F-A8DFAB25618E}" name="Column10" dataDxfId="34"/>
    <tableColumn id="12" xr3:uid="{5BA0EBDB-C187-B449-8FCC-04B256B11C03}" name="Column11" dataDxfId="33"/>
    <tableColumn id="13" xr3:uid="{ADF56850-CE32-DB4A-BE7C-8A869BC3C14F}" name="Column12" dataDxfId="32">
      <calculatedColumnFormula>K80+L80</calculatedColumnFormula>
    </tableColumn>
    <tableColumn id="14" xr3:uid="{DE730AC1-5AAB-A040-B377-33002AFA0F16}" name="Column13" dataDxfId="31">
      <calculatedColumnFormula>IFERROR(M80/I80,0)</calculatedColumnFormula>
    </tableColumn>
    <tableColumn id="15" xr3:uid="{DF8E8CE4-7259-7F4A-B90C-EB2EA51AFFB3}" name="Column14" dataDxfId="30">
      <calculatedColumnFormula>IFERROR(((I80*G80)-M80)/G80,0)</calculatedColumnFormula>
    </tableColumn>
    <tableColumn id="16" xr3:uid="{8429F097-5985-A349-9DCD-415F7ECC2A16}" name="Column15" dataDxfId="29">
      <calculatedColumnFormula>IFERROR(O80/D80,0)</calculatedColumnFormula>
    </tableColumn>
    <tableColumn id="17" xr3:uid="{3C55EC7F-5591-C74C-AEF4-B43886BBD534}" name="Previous Lease Term" dataDxfId="28"/>
    <tableColumn id="18" xr3:uid="{5BFF3F67-6943-434F-9616-24A23AAAED21}" name="Column16"/>
    <tableColumn id="19" xr3:uid="{5C4FFC91-E3D4-3E41-8F13-767B234DB081}" name="Column17"/>
    <tableColumn id="20" xr3:uid="{6C1C351B-270C-0D42-891F-C2CC4D2C1226}" name="Column18" dataDxfId="27"/>
    <tableColumn id="21" xr3:uid="{5120CA5B-F3C1-614A-A656-2EA69551DBD3}" name="Column19" dataDxfId="26"/>
    <tableColumn id="22" xr3:uid="{946B2CCF-EEEF-D940-B5A6-48AA5F5F6900}" name="Column20" dataDxfId="25"/>
    <tableColumn id="23" xr3:uid="{EBA3CFBF-C469-DE40-A79B-9030D97E9D8B}" name="Column21" dataDxfId="24">
      <calculatedColumnFormula>IFERROR(((T80*V80)-U80)/V80,0)</calculatedColumnFormula>
    </tableColumn>
    <tableColumn id="24" xr3:uid="{E6A0C2DD-102F-7544-9241-B58B89D2893B}" name="Column22" dataDxfId="23">
      <calculatedColumnFormula>IFERROR(W80/R80,0)</calculatedColumnFormula>
    </tableColumn>
    <tableColumn id="25" xr3:uid="{B0E8FA80-FEEA-C94B-8A56-38A43FD4D7BD}" name="Column23" dataDxfId="22">
      <calculatedColumnFormula>I80-T80</calculatedColumnFormula>
    </tableColumn>
    <tableColumn id="26" xr3:uid="{1EE63CD8-B8F0-984B-964B-E204BF3BEA39}" name="Column24" dataDxfId="21">
      <calculatedColumnFormula>IFERROR((I80-T80)/T80,0)</calculatedColumnFormula>
    </tableColumn>
    <tableColumn id="27" xr3:uid="{97CE845B-2CBE-F24D-B22C-757DB287D000}" name="Column25" dataDxfId="20">
      <calculatedColumnFormula>IFERROR((O80-W80)/W80,0)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F695C4-E053-F04F-AFA7-5B9E963AF1F7}" name="Table3" displayName="Table3" ref="B35:X74" totalsRowShown="0" tableBorderDxfId="19">
  <autoFilter ref="B35:X74" xr:uid="{9AF695C4-E053-F04F-AFA7-5B9E963AF1F7}">
    <filterColumn colId="5">
      <filters>
        <filter val="12"/>
        <filter val="Lease Term"/>
      </filters>
    </filterColumn>
    <filterColumn colId="17">
      <filters>
        <filter val="12"/>
        <filter val="Lease Term"/>
      </filters>
    </filterColumn>
  </autoFilter>
  <tableColumns count="23">
    <tableColumn id="1" xr3:uid="{3E6B40D8-9D55-C54B-ADC5-FD7E98E4B0AF}" name="Column1"/>
    <tableColumn id="2" xr3:uid="{FB24ABE6-479B-A844-885D-FD9CB7993BA5}" name="Column2"/>
    <tableColumn id="3" xr3:uid="{B33E6FB7-749C-3D4E-8F7A-111E110CA23C}" name="Column3"/>
    <tableColumn id="4" xr3:uid="{122C0ACE-4DDA-F64B-96A5-C98BDECAC61C}" name="Column4" dataDxfId="18"/>
    <tableColumn id="5" xr3:uid="{2FCF9AC2-986D-C94C-9F23-15B5BB3A80C8}" name="New Lease Term" dataDxfId="17"/>
    <tableColumn id="6" xr3:uid="{3B6DE758-6865-8A41-B695-73D9429BB0C9}" name="Column5">
      <calculatedColumnFormula>ROUND((AC36-AB36)/30,0)</calculatedColumnFormula>
    </tableColumn>
    <tableColumn id="7" xr3:uid="{180BAA8A-B347-434C-BC49-4117452E8086}" name="Column6" dataDxfId="16"/>
    <tableColumn id="8" xr3:uid="{3F46453B-146F-004C-8F05-0A2A3BE783D4}" name="Column7" dataDxfId="15"/>
    <tableColumn id="9" xr3:uid="{A9419799-E8D8-9741-8D64-36E97C6A0D4B}" name="Column8" dataDxfId="14">
      <calculatedColumnFormula>I36/D36</calculatedColumnFormula>
    </tableColumn>
    <tableColumn id="10" xr3:uid="{32C11211-0FFB-FC4F-8E1D-2389E7BF51DD}" name="Column9" dataDxfId="13"/>
    <tableColumn id="11" xr3:uid="{9D3CAFA4-41A3-4049-B52C-D193D991C5AA}" name="Column10" dataDxfId="12"/>
    <tableColumn id="12" xr3:uid="{635CAE3F-0263-2A4B-8B1E-BF62B11A4D5A}" name="Column11" dataDxfId="11">
      <calculatedColumnFormula>K36+L36</calculatedColumnFormula>
    </tableColumn>
    <tableColumn id="13" xr3:uid="{989B2AC1-3401-BD45-921A-B8F820736287}" name="Column12" dataDxfId="10">
      <calculatedColumnFormula>IFERROR(M36/I36,0)</calculatedColumnFormula>
    </tableColumn>
    <tableColumn id="14" xr3:uid="{DF9777C9-6E89-C34F-97C8-0E64DAA57306}" name="Column13" dataDxfId="9">
      <calculatedColumnFormula>IFERROR(((I36*G36)-M36)/G36,0)</calculatedColumnFormula>
    </tableColumn>
    <tableColumn id="15" xr3:uid="{46BC33F1-01EF-F340-9D7C-86FA752414D7}" name="Column14" dataDxfId="8">
      <calculatedColumnFormula>IFERROR(O36/D36,0)</calculatedColumnFormula>
    </tableColumn>
    <tableColumn id="16" xr3:uid="{7B390C1A-5147-1C47-AE0E-07AA024C418F}" name="Previous Lease Term" dataDxfId="7"/>
    <tableColumn id="17" xr3:uid="{54E62465-702F-104F-8C34-13DC78E59105}" name="Column15" dataDxfId="6"/>
    <tableColumn id="18" xr3:uid="{C2A974F6-A9B3-7E4D-979A-475EA1B7EF0A}" name="Column16" dataDxfId="5"/>
    <tableColumn id="19" xr3:uid="{FAF462A8-16C5-D14D-84AB-6E778D02E3E0}" name="Column17" dataDxfId="4">
      <calculatedColumnFormula>IFERROR(((Q36*S36)-R36)/S36,0)</calculatedColumnFormula>
    </tableColumn>
    <tableColumn id="20" xr3:uid="{89E13503-76EE-EC4B-ADCE-8413AAC9AB48}" name="Column18" dataDxfId="3">
      <calculatedColumnFormula>IFERROR(T36/D36,0)</calculatedColumnFormula>
    </tableColumn>
    <tableColumn id="21" xr3:uid="{A1358702-4F84-F64C-909E-98C2B8BC410A}" name="Column19" dataDxfId="2">
      <calculatedColumnFormula>I36-Q36</calculatedColumnFormula>
    </tableColumn>
    <tableColumn id="22" xr3:uid="{746CE4FA-5622-F74B-A8F1-3C267189E6C7}" name="Column20" dataDxfId="1">
      <calculatedColumnFormula>IFERROR((I36-Q36)/Q36,0)</calculatedColumnFormula>
    </tableColumn>
    <tableColumn id="23" xr3:uid="{0C4D723D-6A3E-CD40-B98B-9DCB96225D35}" name="Column21" dataDxfId="0">
      <calculatedColumnFormula>IFERROR((O36-T36)/T36,0)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"/>
  <sheetViews>
    <sheetView tabSelected="1" topLeftCell="B24" zoomScale="68" zoomScaleNormal="68" workbookViewId="0">
      <selection activeCell="F78" sqref="F78"/>
    </sheetView>
  </sheetViews>
  <sheetFormatPr baseColWidth="10" defaultColWidth="8.83203125" defaultRowHeight="15" x14ac:dyDescent="0.2"/>
  <cols>
    <col min="1" max="1" width="8" hidden="1" customWidth="1"/>
    <col min="2" max="2" width="25.6640625" customWidth="1"/>
    <col min="3" max="3" width="10.83203125" customWidth="1"/>
    <col min="4" max="5" width="10.5" customWidth="1"/>
    <col min="6" max="6" width="16" customWidth="1"/>
    <col min="7" max="7" width="12.1640625" customWidth="1"/>
    <col min="8" max="8" width="13.1640625" customWidth="1"/>
    <col min="9" max="9" width="11.83203125" customWidth="1"/>
    <col min="10" max="10" width="27" style="32" customWidth="1"/>
    <col min="11" max="11" width="20" customWidth="1"/>
    <col min="12" max="12" width="24.83203125" customWidth="1"/>
    <col min="13" max="13" width="17" customWidth="1"/>
    <col min="14" max="14" width="14.5" customWidth="1"/>
    <col min="15" max="15" width="14.1640625" customWidth="1"/>
    <col min="16" max="16" width="24.6640625" style="30" customWidth="1"/>
    <col min="17" max="17" width="19.1640625" customWidth="1"/>
    <col min="18" max="18" width="18" customWidth="1"/>
    <col min="19" max="19" width="13.1640625" customWidth="1"/>
    <col min="20" max="20" width="15.1640625" customWidth="1"/>
    <col min="21" max="21" width="12.33203125" customWidth="1"/>
    <col min="22" max="22" width="13.1640625" customWidth="1"/>
    <col min="23" max="23" width="11.5" customWidth="1"/>
    <col min="24" max="24" width="17" customWidth="1"/>
    <col min="25" max="27" width="11.5" customWidth="1"/>
    <col min="28" max="29" width="0" hidden="1" customWidth="1"/>
  </cols>
  <sheetData>
    <row r="1" spans="1:29" ht="21" x14ac:dyDescent="0.25">
      <c r="B1" s="7" t="s">
        <v>0</v>
      </c>
    </row>
    <row r="2" spans="1:29" ht="16" x14ac:dyDescent="0.2">
      <c r="B2" s="8" t="s">
        <v>26</v>
      </c>
    </row>
    <row r="3" spans="1:29" x14ac:dyDescent="0.2">
      <c r="G3" s="20"/>
    </row>
    <row r="4" spans="1:29" x14ac:dyDescent="0.2">
      <c r="B4" s="37"/>
      <c r="C4" s="38"/>
      <c r="D4" s="38"/>
      <c r="E4" s="39"/>
      <c r="F4" s="34" t="s">
        <v>18</v>
      </c>
      <c r="G4" s="35"/>
      <c r="H4" s="35"/>
      <c r="I4" s="35"/>
      <c r="J4" s="35"/>
      <c r="K4" s="35"/>
      <c r="L4" s="35"/>
      <c r="M4" s="35"/>
      <c r="N4" s="35"/>
      <c r="O4" s="35"/>
      <c r="P4" s="36"/>
      <c r="Q4" s="34" t="s">
        <v>19</v>
      </c>
      <c r="R4" s="35"/>
      <c r="S4" s="35"/>
      <c r="T4" s="35"/>
      <c r="U4" s="36"/>
      <c r="V4" s="37"/>
      <c r="W4" s="38"/>
      <c r="X4" s="39"/>
    </row>
    <row r="5" spans="1:29" s="9" customFormat="1" ht="16" x14ac:dyDescent="0.2">
      <c r="B5" s="10" t="s">
        <v>1</v>
      </c>
      <c r="C5" s="11" t="s">
        <v>2</v>
      </c>
      <c r="D5" s="11" t="s">
        <v>3</v>
      </c>
      <c r="E5" s="12" t="s">
        <v>4</v>
      </c>
      <c r="F5" s="13" t="s">
        <v>5</v>
      </c>
      <c r="G5" s="14" t="s">
        <v>6</v>
      </c>
      <c r="H5" s="14" t="s">
        <v>7</v>
      </c>
      <c r="I5" s="14" t="s">
        <v>8</v>
      </c>
      <c r="J5" s="28" t="s">
        <v>178</v>
      </c>
      <c r="K5" s="14" t="s">
        <v>9</v>
      </c>
      <c r="L5" s="14" t="s">
        <v>10</v>
      </c>
      <c r="M5" s="14" t="s">
        <v>11</v>
      </c>
      <c r="N5" s="14" t="s">
        <v>12</v>
      </c>
      <c r="O5" s="14" t="s">
        <v>13</v>
      </c>
      <c r="P5" s="29" t="s">
        <v>179</v>
      </c>
      <c r="Q5" s="13" t="s">
        <v>184</v>
      </c>
      <c r="R5" s="14" t="s">
        <v>185</v>
      </c>
      <c r="S5" s="14" t="s">
        <v>186</v>
      </c>
      <c r="T5" s="14" t="s">
        <v>187</v>
      </c>
      <c r="U5" s="15" t="s">
        <v>14</v>
      </c>
      <c r="V5" s="13" t="s">
        <v>15</v>
      </c>
      <c r="W5" s="14" t="s">
        <v>16</v>
      </c>
      <c r="X5" s="15" t="s">
        <v>17</v>
      </c>
    </row>
    <row r="6" spans="1:29" x14ac:dyDescent="0.2">
      <c r="A6" s="17" t="s">
        <v>40</v>
      </c>
      <c r="B6" t="s">
        <v>48</v>
      </c>
      <c r="C6" t="s">
        <v>44</v>
      </c>
      <c r="D6">
        <v>657</v>
      </c>
      <c r="E6" s="22" t="s">
        <v>46</v>
      </c>
      <c r="F6" s="16">
        <v>46134</v>
      </c>
      <c r="G6" s="27">
        <f t="shared" ref="G6:G30" si="0">ROUND((AC6-AB6)/30,0)</f>
        <v>12</v>
      </c>
      <c r="H6" s="17">
        <v>1264</v>
      </c>
      <c r="I6" s="17">
        <v>1425</v>
      </c>
      <c r="J6" s="33">
        <f>I6/D6</f>
        <v>2.1689497716894977</v>
      </c>
      <c r="K6" s="17">
        <v>1425</v>
      </c>
      <c r="L6" s="17">
        <v>0</v>
      </c>
      <c r="M6" s="17">
        <f t="shared" ref="M6:M30" si="1">K6+L6</f>
        <v>1425</v>
      </c>
      <c r="N6" s="20">
        <f t="shared" ref="N6:N30" si="2">IFERROR(M6/I6,0)</f>
        <v>1</v>
      </c>
      <c r="O6" s="17">
        <f t="shared" ref="O6:O30" si="3">IFERROR(((I6*G6)-M6)/G6,0)</f>
        <v>1306.25</v>
      </c>
      <c r="P6" s="31">
        <f t="shared" ref="P6:P30" si="4">IFERROR(O6/D6,0)</f>
        <v>1.9882039573820396</v>
      </c>
      <c r="Q6" s="17">
        <v>1405</v>
      </c>
      <c r="R6" s="17">
        <v>0</v>
      </c>
      <c r="S6" s="27">
        <v>12</v>
      </c>
      <c r="T6" s="17">
        <f t="shared" ref="T6:T30" si="5">IFERROR(((Q6*S6)-R6)/S6,0)</f>
        <v>1405</v>
      </c>
      <c r="U6" s="23">
        <f t="shared" ref="U6:U30" si="6">IFERROR(T6/D6,0)</f>
        <v>2.1385083713850839</v>
      </c>
      <c r="V6" s="17">
        <f t="shared" ref="V6:V30" si="7">I6-Q6</f>
        <v>20</v>
      </c>
      <c r="W6" s="18">
        <f t="shared" ref="W6:W30" si="8">IFERROR((I6-Q6)/Q6,0)</f>
        <v>1.4234875444839857E-2</v>
      </c>
      <c r="X6" s="19">
        <f t="shared" ref="X6:X30" si="9">IFERROR((O6-T6)/T6,0)</f>
        <v>-7.0284697508896793E-2</v>
      </c>
      <c r="AB6" s="16">
        <v>46134</v>
      </c>
      <c r="AC6" s="16">
        <v>46498</v>
      </c>
    </row>
    <row r="7" spans="1:29" x14ac:dyDescent="0.2">
      <c r="A7" s="17" t="s">
        <v>40</v>
      </c>
      <c r="B7" t="s">
        <v>25</v>
      </c>
      <c r="C7" t="s">
        <v>44</v>
      </c>
      <c r="D7">
        <v>657</v>
      </c>
      <c r="E7" s="22" t="s">
        <v>41</v>
      </c>
      <c r="F7" s="16">
        <v>46158</v>
      </c>
      <c r="G7" s="27">
        <f t="shared" si="0"/>
        <v>12</v>
      </c>
      <c r="H7" s="17">
        <v>1174</v>
      </c>
      <c r="I7" s="17">
        <v>1414</v>
      </c>
      <c r="J7" s="33">
        <f t="shared" ref="J7:J30" si="10">I7/D7</f>
        <v>2.1522070015220702</v>
      </c>
      <c r="K7" s="17">
        <v>0</v>
      </c>
      <c r="L7" s="17">
        <v>0</v>
      </c>
      <c r="M7" s="17">
        <f t="shared" si="1"/>
        <v>0</v>
      </c>
      <c r="N7" s="20">
        <f t="shared" si="2"/>
        <v>0</v>
      </c>
      <c r="O7" s="17">
        <f t="shared" si="3"/>
        <v>1414</v>
      </c>
      <c r="P7" s="31">
        <f t="shared" si="4"/>
        <v>2.1522070015220702</v>
      </c>
      <c r="Q7" s="17">
        <v>1399</v>
      </c>
      <c r="R7" s="17">
        <v>0</v>
      </c>
      <c r="S7" s="27">
        <v>12</v>
      </c>
      <c r="T7" s="17">
        <f t="shared" si="5"/>
        <v>1399</v>
      </c>
      <c r="U7" s="23">
        <f t="shared" si="6"/>
        <v>2.1293759512937593</v>
      </c>
      <c r="V7" s="17">
        <f t="shared" si="7"/>
        <v>15</v>
      </c>
      <c r="W7" s="18">
        <f t="shared" si="8"/>
        <v>1.0721944245889922E-2</v>
      </c>
      <c r="X7" s="19">
        <f t="shared" si="9"/>
        <v>1.0721944245889922E-2</v>
      </c>
      <c r="AB7" s="16">
        <v>46158</v>
      </c>
      <c r="AC7" s="16">
        <v>46522</v>
      </c>
    </row>
    <row r="8" spans="1:29" x14ac:dyDescent="0.2">
      <c r="A8" s="17" t="s">
        <v>40</v>
      </c>
      <c r="B8" t="s">
        <v>20</v>
      </c>
      <c r="C8" t="s">
        <v>44</v>
      </c>
      <c r="D8">
        <v>657</v>
      </c>
      <c r="E8" s="22" t="s">
        <v>21</v>
      </c>
      <c r="F8" s="16">
        <v>46196</v>
      </c>
      <c r="G8" s="27">
        <f t="shared" si="0"/>
        <v>12</v>
      </c>
      <c r="H8" s="17">
        <v>1159</v>
      </c>
      <c r="I8" s="17">
        <v>1560</v>
      </c>
      <c r="J8" s="33">
        <f t="shared" si="10"/>
        <v>2.3744292237442921</v>
      </c>
      <c r="K8" s="17">
        <v>0</v>
      </c>
      <c r="L8" s="17">
        <v>0</v>
      </c>
      <c r="M8" s="17">
        <f t="shared" si="1"/>
        <v>0</v>
      </c>
      <c r="N8" s="20">
        <f t="shared" si="2"/>
        <v>0</v>
      </c>
      <c r="O8" s="17">
        <f t="shared" si="3"/>
        <v>1560</v>
      </c>
      <c r="P8" s="31">
        <f t="shared" si="4"/>
        <v>2.3744292237442921</v>
      </c>
      <c r="Q8" s="17">
        <v>1560</v>
      </c>
      <c r="R8" s="17">
        <v>0</v>
      </c>
      <c r="S8" s="27">
        <v>12</v>
      </c>
      <c r="T8" s="17">
        <f t="shared" si="5"/>
        <v>1560</v>
      </c>
      <c r="U8" s="23">
        <f t="shared" si="6"/>
        <v>2.3744292237442921</v>
      </c>
      <c r="V8" s="17">
        <f t="shared" si="7"/>
        <v>0</v>
      </c>
      <c r="W8" s="18">
        <f t="shared" si="8"/>
        <v>0</v>
      </c>
      <c r="X8" s="19">
        <f t="shared" si="9"/>
        <v>0</v>
      </c>
      <c r="AB8" s="16">
        <v>46196</v>
      </c>
      <c r="AC8" s="16">
        <v>46560</v>
      </c>
    </row>
    <row r="9" spans="1:29" x14ac:dyDescent="0.2">
      <c r="A9" s="17" t="s">
        <v>40</v>
      </c>
      <c r="B9" t="s">
        <v>22</v>
      </c>
      <c r="C9" t="s">
        <v>44</v>
      </c>
      <c r="D9">
        <v>657</v>
      </c>
      <c r="E9" s="22" t="s">
        <v>23</v>
      </c>
      <c r="F9" s="16">
        <v>46185</v>
      </c>
      <c r="G9" s="27">
        <f t="shared" si="0"/>
        <v>12</v>
      </c>
      <c r="H9" s="17">
        <v>1079</v>
      </c>
      <c r="I9" s="17">
        <v>1299</v>
      </c>
      <c r="J9" s="33">
        <f t="shared" si="10"/>
        <v>1.9771689497716896</v>
      </c>
      <c r="K9" s="17">
        <v>0</v>
      </c>
      <c r="L9" s="17">
        <v>0</v>
      </c>
      <c r="M9" s="17">
        <f t="shared" si="1"/>
        <v>0</v>
      </c>
      <c r="N9" s="20">
        <f t="shared" si="2"/>
        <v>0</v>
      </c>
      <c r="O9" s="17">
        <f t="shared" si="3"/>
        <v>1299</v>
      </c>
      <c r="P9" s="31">
        <f t="shared" si="4"/>
        <v>1.9771689497716896</v>
      </c>
      <c r="Q9" s="17">
        <v>1299</v>
      </c>
      <c r="R9" s="17">
        <v>1549</v>
      </c>
      <c r="S9" s="27">
        <v>12</v>
      </c>
      <c r="T9" s="17">
        <f t="shared" si="5"/>
        <v>1169.9166666666667</v>
      </c>
      <c r="U9" s="23">
        <f t="shared" si="6"/>
        <v>1.7806950786402842</v>
      </c>
      <c r="V9" s="17">
        <f t="shared" si="7"/>
        <v>0</v>
      </c>
      <c r="W9" s="18">
        <f t="shared" si="8"/>
        <v>0</v>
      </c>
      <c r="X9" s="19">
        <f t="shared" si="9"/>
        <v>0.1103354939810527</v>
      </c>
      <c r="AB9" s="16">
        <v>46185</v>
      </c>
      <c r="AC9" s="16">
        <v>46549</v>
      </c>
    </row>
    <row r="10" spans="1:29" hidden="1" x14ac:dyDescent="0.2">
      <c r="A10" s="17" t="s">
        <v>40</v>
      </c>
      <c r="B10" t="s">
        <v>42</v>
      </c>
      <c r="C10" t="s">
        <v>24</v>
      </c>
      <c r="D10">
        <v>700</v>
      </c>
      <c r="E10" s="22" t="s">
        <v>34</v>
      </c>
      <c r="F10" s="16">
        <v>46189</v>
      </c>
      <c r="G10" s="27">
        <f t="shared" si="0"/>
        <v>12</v>
      </c>
      <c r="H10" s="17">
        <v>1290</v>
      </c>
      <c r="I10" s="17">
        <v>1430</v>
      </c>
      <c r="J10" s="33">
        <f t="shared" si="10"/>
        <v>2.0428571428571427</v>
      </c>
      <c r="K10" s="17">
        <v>0</v>
      </c>
      <c r="L10" s="17">
        <v>0</v>
      </c>
      <c r="M10" s="17">
        <f t="shared" si="1"/>
        <v>0</v>
      </c>
      <c r="N10" s="20">
        <f t="shared" si="2"/>
        <v>0</v>
      </c>
      <c r="O10" s="17">
        <f t="shared" si="3"/>
        <v>1430</v>
      </c>
      <c r="P10" s="31">
        <f t="shared" si="4"/>
        <v>2.0428571428571427</v>
      </c>
      <c r="Q10" s="17">
        <v>1425</v>
      </c>
      <c r="R10" s="17">
        <v>0</v>
      </c>
      <c r="S10" s="27">
        <v>10</v>
      </c>
      <c r="T10" s="17">
        <f t="shared" si="5"/>
        <v>1425</v>
      </c>
      <c r="U10" s="23">
        <f t="shared" si="6"/>
        <v>2.0357142857142856</v>
      </c>
      <c r="V10" s="17">
        <f t="shared" si="7"/>
        <v>5</v>
      </c>
      <c r="W10" s="18">
        <f t="shared" si="8"/>
        <v>3.5087719298245615E-3</v>
      </c>
      <c r="X10" s="19">
        <f t="shared" si="9"/>
        <v>3.5087719298245615E-3</v>
      </c>
      <c r="AB10" s="16">
        <v>46189</v>
      </c>
      <c r="AC10" s="16">
        <v>46553</v>
      </c>
    </row>
    <row r="11" spans="1:29" x14ac:dyDescent="0.2">
      <c r="A11" s="17" t="s">
        <v>40</v>
      </c>
      <c r="B11" t="s">
        <v>35</v>
      </c>
      <c r="C11" t="s">
        <v>24</v>
      </c>
      <c r="D11">
        <v>700</v>
      </c>
      <c r="E11" s="22" t="s">
        <v>36</v>
      </c>
      <c r="F11" s="16">
        <v>46175</v>
      </c>
      <c r="G11" s="27">
        <f t="shared" si="0"/>
        <v>12</v>
      </c>
      <c r="H11" s="17">
        <v>1260</v>
      </c>
      <c r="I11" s="17">
        <v>1395</v>
      </c>
      <c r="J11" s="33">
        <f t="shared" si="10"/>
        <v>1.9928571428571429</v>
      </c>
      <c r="K11" s="17">
        <v>0</v>
      </c>
      <c r="L11" s="17">
        <v>0</v>
      </c>
      <c r="M11" s="17">
        <f t="shared" si="1"/>
        <v>0</v>
      </c>
      <c r="N11" s="20">
        <f t="shared" si="2"/>
        <v>0</v>
      </c>
      <c r="O11" s="17">
        <f t="shared" si="3"/>
        <v>1395</v>
      </c>
      <c r="P11" s="31">
        <f t="shared" si="4"/>
        <v>1.9928571428571429</v>
      </c>
      <c r="Q11" s="17">
        <v>1395</v>
      </c>
      <c r="R11" s="17">
        <v>2342</v>
      </c>
      <c r="S11" s="27">
        <v>12</v>
      </c>
      <c r="T11" s="17">
        <f t="shared" si="5"/>
        <v>1199.8333333333333</v>
      </c>
      <c r="U11" s="23">
        <f t="shared" si="6"/>
        <v>1.714047619047619</v>
      </c>
      <c r="V11" s="17">
        <f t="shared" si="7"/>
        <v>0</v>
      </c>
      <c r="W11" s="18">
        <f t="shared" si="8"/>
        <v>0</v>
      </c>
      <c r="X11" s="19">
        <f t="shared" si="9"/>
        <v>0.16266148076121692</v>
      </c>
      <c r="AB11" s="16">
        <v>46175</v>
      </c>
      <c r="AC11" s="16">
        <v>46539</v>
      </c>
    </row>
    <row r="12" spans="1:29" x14ac:dyDescent="0.2">
      <c r="A12" s="17" t="s">
        <v>40</v>
      </c>
      <c r="B12" t="s">
        <v>27</v>
      </c>
      <c r="C12" t="s">
        <v>49</v>
      </c>
      <c r="D12">
        <v>814</v>
      </c>
      <c r="E12" s="22" t="s">
        <v>45</v>
      </c>
      <c r="F12" s="16">
        <v>46183</v>
      </c>
      <c r="G12" s="27">
        <f t="shared" si="0"/>
        <v>12</v>
      </c>
      <c r="H12" s="17">
        <v>1355</v>
      </c>
      <c r="I12" s="17">
        <v>1585</v>
      </c>
      <c r="J12" s="33">
        <f t="shared" si="10"/>
        <v>1.9471744471744472</v>
      </c>
      <c r="K12" s="17">
        <v>0</v>
      </c>
      <c r="L12" s="17">
        <v>0</v>
      </c>
      <c r="M12" s="17">
        <f t="shared" si="1"/>
        <v>0</v>
      </c>
      <c r="N12" s="20">
        <f t="shared" si="2"/>
        <v>0</v>
      </c>
      <c r="O12" s="17">
        <f t="shared" si="3"/>
        <v>1585</v>
      </c>
      <c r="P12" s="31">
        <f t="shared" si="4"/>
        <v>1.9471744471744472</v>
      </c>
      <c r="Q12" s="17">
        <v>1585</v>
      </c>
      <c r="R12" s="17">
        <v>0</v>
      </c>
      <c r="S12" s="27">
        <v>12</v>
      </c>
      <c r="T12" s="17">
        <f t="shared" si="5"/>
        <v>1585</v>
      </c>
      <c r="U12" s="23">
        <f t="shared" si="6"/>
        <v>1.9471744471744472</v>
      </c>
      <c r="V12" s="17">
        <f t="shared" si="7"/>
        <v>0</v>
      </c>
      <c r="W12" s="18">
        <f t="shared" si="8"/>
        <v>0</v>
      </c>
      <c r="X12" s="19">
        <f t="shared" si="9"/>
        <v>0</v>
      </c>
      <c r="AB12" s="16">
        <v>46183</v>
      </c>
      <c r="AC12" s="16">
        <v>46547</v>
      </c>
    </row>
    <row r="13" spans="1:29" hidden="1" x14ac:dyDescent="0.2">
      <c r="A13" s="17" t="s">
        <v>40</v>
      </c>
      <c r="B13" t="s">
        <v>47</v>
      </c>
      <c r="C13" t="s">
        <v>49</v>
      </c>
      <c r="D13">
        <v>814</v>
      </c>
      <c r="E13" s="22" t="s">
        <v>28</v>
      </c>
      <c r="F13" s="16">
        <v>46186</v>
      </c>
      <c r="G13" s="27">
        <f t="shared" si="0"/>
        <v>12</v>
      </c>
      <c r="H13" s="17">
        <v>1335</v>
      </c>
      <c r="I13" s="17">
        <v>1517</v>
      </c>
      <c r="J13" s="33">
        <f t="shared" si="10"/>
        <v>1.8636363636363635</v>
      </c>
      <c r="K13" s="17">
        <v>0</v>
      </c>
      <c r="L13" s="17">
        <v>0</v>
      </c>
      <c r="M13" s="17">
        <f t="shared" si="1"/>
        <v>0</v>
      </c>
      <c r="N13" s="20">
        <f t="shared" si="2"/>
        <v>0</v>
      </c>
      <c r="O13" s="17">
        <f t="shared" si="3"/>
        <v>1517</v>
      </c>
      <c r="P13" s="31">
        <f t="shared" si="4"/>
        <v>1.8636363636363635</v>
      </c>
      <c r="Q13" s="17">
        <v>1517</v>
      </c>
      <c r="R13" s="17">
        <v>0</v>
      </c>
      <c r="S13" s="27">
        <v>10</v>
      </c>
      <c r="T13" s="17">
        <f t="shared" si="5"/>
        <v>1517</v>
      </c>
      <c r="U13" s="23">
        <f t="shared" si="6"/>
        <v>1.8636363636363635</v>
      </c>
      <c r="V13" s="17">
        <f t="shared" si="7"/>
        <v>0</v>
      </c>
      <c r="W13" s="18">
        <f t="shared" si="8"/>
        <v>0</v>
      </c>
      <c r="X13" s="19">
        <f t="shared" si="9"/>
        <v>0</v>
      </c>
      <c r="AB13" s="16">
        <v>46186</v>
      </c>
      <c r="AC13" s="16">
        <v>46550</v>
      </c>
    </row>
    <row r="14" spans="1:29" hidden="1" x14ac:dyDescent="0.2">
      <c r="A14" s="17" t="s">
        <v>40</v>
      </c>
      <c r="B14" t="s">
        <v>43</v>
      </c>
      <c r="C14" t="s">
        <v>49</v>
      </c>
      <c r="D14">
        <v>814</v>
      </c>
      <c r="E14" s="22" t="s">
        <v>29</v>
      </c>
      <c r="F14" s="16">
        <v>46180</v>
      </c>
      <c r="G14" s="27">
        <f t="shared" si="0"/>
        <v>12</v>
      </c>
      <c r="H14" s="17">
        <v>1415</v>
      </c>
      <c r="I14" s="17">
        <v>1640</v>
      </c>
      <c r="J14" s="33">
        <f t="shared" si="10"/>
        <v>2.0147420147420148</v>
      </c>
      <c r="K14" s="17">
        <v>0</v>
      </c>
      <c r="L14" s="17">
        <v>0</v>
      </c>
      <c r="M14" s="17">
        <f t="shared" si="1"/>
        <v>0</v>
      </c>
      <c r="N14" s="20">
        <f t="shared" si="2"/>
        <v>0</v>
      </c>
      <c r="O14" s="17">
        <f t="shared" si="3"/>
        <v>1640</v>
      </c>
      <c r="P14" s="31">
        <f t="shared" si="4"/>
        <v>2.0147420147420148</v>
      </c>
      <c r="Q14" s="17">
        <v>1640</v>
      </c>
      <c r="R14" s="17">
        <v>1640</v>
      </c>
      <c r="S14" s="27">
        <v>10</v>
      </c>
      <c r="T14" s="17">
        <f t="shared" si="5"/>
        <v>1476</v>
      </c>
      <c r="U14" s="23">
        <f t="shared" si="6"/>
        <v>1.8132678132678133</v>
      </c>
      <c r="V14" s="17">
        <f t="shared" si="7"/>
        <v>0</v>
      </c>
      <c r="W14" s="18">
        <f t="shared" si="8"/>
        <v>0</v>
      </c>
      <c r="X14" s="19">
        <f t="shared" si="9"/>
        <v>0.1111111111111111</v>
      </c>
      <c r="AB14" s="16">
        <v>46180</v>
      </c>
      <c r="AC14" s="16">
        <v>46544</v>
      </c>
    </row>
    <row r="15" spans="1:29" x14ac:dyDescent="0.2">
      <c r="A15" s="17" t="s">
        <v>40</v>
      </c>
      <c r="B15" t="s">
        <v>30</v>
      </c>
      <c r="C15" t="s">
        <v>49</v>
      </c>
      <c r="D15">
        <v>814</v>
      </c>
      <c r="E15" s="22" t="s">
        <v>33</v>
      </c>
      <c r="F15" s="16">
        <v>46179</v>
      </c>
      <c r="G15" s="27">
        <f t="shared" si="0"/>
        <v>12</v>
      </c>
      <c r="H15" s="17">
        <v>1430</v>
      </c>
      <c r="I15" s="17">
        <v>1595</v>
      </c>
      <c r="J15" s="33">
        <f t="shared" si="10"/>
        <v>1.9594594594594594</v>
      </c>
      <c r="K15" s="17">
        <v>0</v>
      </c>
      <c r="L15" s="17">
        <v>0</v>
      </c>
      <c r="M15" s="17">
        <f t="shared" si="1"/>
        <v>0</v>
      </c>
      <c r="N15" s="20">
        <f t="shared" si="2"/>
        <v>0</v>
      </c>
      <c r="O15" s="17">
        <f t="shared" si="3"/>
        <v>1595</v>
      </c>
      <c r="P15" s="31">
        <f t="shared" si="4"/>
        <v>1.9594594594594594</v>
      </c>
      <c r="Q15" s="17">
        <v>1584</v>
      </c>
      <c r="R15" s="17">
        <v>1584</v>
      </c>
      <c r="S15" s="27">
        <v>12</v>
      </c>
      <c r="T15" s="17">
        <f t="shared" si="5"/>
        <v>1452</v>
      </c>
      <c r="U15" s="23">
        <f t="shared" si="6"/>
        <v>1.7837837837837838</v>
      </c>
      <c r="V15" s="17">
        <f t="shared" si="7"/>
        <v>11</v>
      </c>
      <c r="W15" s="18">
        <f t="shared" si="8"/>
        <v>6.9444444444444441E-3</v>
      </c>
      <c r="X15" s="19">
        <f t="shared" si="9"/>
        <v>9.8484848484848481E-2</v>
      </c>
      <c r="AB15" s="16">
        <v>46179</v>
      </c>
      <c r="AC15" s="16">
        <v>46543</v>
      </c>
    </row>
    <row r="16" spans="1:29" x14ac:dyDescent="0.2">
      <c r="A16" s="17" t="s">
        <v>40</v>
      </c>
      <c r="B16" t="s">
        <v>31</v>
      </c>
      <c r="C16" t="s">
        <v>49</v>
      </c>
      <c r="D16">
        <v>814</v>
      </c>
      <c r="E16" s="22" t="s">
        <v>32</v>
      </c>
      <c r="F16" s="16">
        <v>46136</v>
      </c>
      <c r="G16" s="27">
        <f t="shared" si="0"/>
        <v>12</v>
      </c>
      <c r="H16" s="17">
        <v>1305</v>
      </c>
      <c r="I16" s="17">
        <v>1535</v>
      </c>
      <c r="J16" s="33">
        <f t="shared" si="10"/>
        <v>1.8857493857493857</v>
      </c>
      <c r="K16" s="17">
        <v>0</v>
      </c>
      <c r="L16" s="17">
        <v>0</v>
      </c>
      <c r="M16" s="17">
        <f t="shared" si="1"/>
        <v>0</v>
      </c>
      <c r="N16" s="20">
        <f t="shared" si="2"/>
        <v>0</v>
      </c>
      <c r="O16" s="17">
        <f t="shared" si="3"/>
        <v>1535</v>
      </c>
      <c r="P16" s="31">
        <f t="shared" si="4"/>
        <v>1.8857493857493857</v>
      </c>
      <c r="Q16" s="17">
        <v>1535</v>
      </c>
      <c r="R16" s="17">
        <v>0</v>
      </c>
      <c r="S16" s="27">
        <v>12</v>
      </c>
      <c r="T16" s="17">
        <f t="shared" si="5"/>
        <v>1535</v>
      </c>
      <c r="U16" s="23">
        <f t="shared" si="6"/>
        <v>1.8857493857493857</v>
      </c>
      <c r="V16" s="17">
        <f t="shared" si="7"/>
        <v>0</v>
      </c>
      <c r="W16" s="18">
        <f t="shared" si="8"/>
        <v>0</v>
      </c>
      <c r="X16" s="19">
        <f t="shared" si="9"/>
        <v>0</v>
      </c>
      <c r="AB16" s="16">
        <v>46136</v>
      </c>
      <c r="AC16" s="16">
        <v>46500</v>
      </c>
    </row>
    <row r="17" spans="1:29" x14ac:dyDescent="0.2">
      <c r="A17" s="17" t="s">
        <v>40</v>
      </c>
      <c r="B17" t="s">
        <v>59</v>
      </c>
      <c r="C17" t="s">
        <v>39</v>
      </c>
      <c r="D17">
        <v>875</v>
      </c>
      <c r="E17" s="22" t="s">
        <v>37</v>
      </c>
      <c r="F17" s="16">
        <v>46146</v>
      </c>
      <c r="G17" s="27">
        <f t="shared" si="0"/>
        <v>12</v>
      </c>
      <c r="H17" s="17">
        <v>1349</v>
      </c>
      <c r="I17" s="17">
        <v>1625</v>
      </c>
      <c r="J17" s="33">
        <f t="shared" si="10"/>
        <v>1.8571428571428572</v>
      </c>
      <c r="K17" s="17">
        <v>1625</v>
      </c>
      <c r="L17" s="17">
        <v>0</v>
      </c>
      <c r="M17" s="17">
        <f t="shared" si="1"/>
        <v>1625</v>
      </c>
      <c r="N17" s="20">
        <f t="shared" si="2"/>
        <v>1</v>
      </c>
      <c r="O17" s="17">
        <f t="shared" si="3"/>
        <v>1489.5833333333333</v>
      </c>
      <c r="P17" s="31">
        <f t="shared" si="4"/>
        <v>1.7023809523809523</v>
      </c>
      <c r="Q17" s="17">
        <v>1610</v>
      </c>
      <c r="R17" s="17">
        <v>0</v>
      </c>
      <c r="S17" s="27">
        <v>12</v>
      </c>
      <c r="T17" s="17">
        <f t="shared" si="5"/>
        <v>1610</v>
      </c>
      <c r="U17" s="23">
        <f t="shared" si="6"/>
        <v>1.84</v>
      </c>
      <c r="V17" s="17">
        <f t="shared" si="7"/>
        <v>15</v>
      </c>
      <c r="W17" s="18">
        <f t="shared" si="8"/>
        <v>9.316770186335404E-3</v>
      </c>
      <c r="X17" s="19">
        <f t="shared" si="9"/>
        <v>-7.4792960662525929E-2</v>
      </c>
      <c r="AB17" s="16">
        <v>46146</v>
      </c>
      <c r="AC17" s="16">
        <v>46510</v>
      </c>
    </row>
    <row r="18" spans="1:29" x14ac:dyDescent="0.2">
      <c r="A18" s="17" t="s">
        <v>40</v>
      </c>
      <c r="B18" t="s">
        <v>38</v>
      </c>
      <c r="C18" t="s">
        <v>39</v>
      </c>
      <c r="D18">
        <v>875</v>
      </c>
      <c r="E18" s="22" t="s">
        <v>83</v>
      </c>
      <c r="F18" s="16">
        <v>46148</v>
      </c>
      <c r="G18" s="27">
        <f t="shared" si="0"/>
        <v>12</v>
      </c>
      <c r="H18" s="17">
        <v>1349</v>
      </c>
      <c r="I18" s="17">
        <v>1642</v>
      </c>
      <c r="J18" s="33">
        <f t="shared" si="10"/>
        <v>1.8765714285714286</v>
      </c>
      <c r="K18" s="17">
        <v>2440.5</v>
      </c>
      <c r="L18" s="17">
        <v>0</v>
      </c>
      <c r="M18" s="17">
        <f t="shared" si="1"/>
        <v>2440.5</v>
      </c>
      <c r="N18" s="20">
        <f t="shared" si="2"/>
        <v>1.4862971985383679</v>
      </c>
      <c r="O18" s="17">
        <f t="shared" si="3"/>
        <v>1438.625</v>
      </c>
      <c r="P18" s="31">
        <f t="shared" si="4"/>
        <v>1.6441428571428571</v>
      </c>
      <c r="Q18" s="17">
        <v>1627</v>
      </c>
      <c r="R18" s="17">
        <v>0</v>
      </c>
      <c r="S18" s="27">
        <v>12</v>
      </c>
      <c r="T18" s="17">
        <f t="shared" si="5"/>
        <v>1627</v>
      </c>
      <c r="U18" s="23">
        <f t="shared" si="6"/>
        <v>1.8594285714285714</v>
      </c>
      <c r="V18" s="17">
        <f t="shared" si="7"/>
        <v>15</v>
      </c>
      <c r="W18" s="18">
        <f t="shared" si="8"/>
        <v>9.2194222495390298E-3</v>
      </c>
      <c r="X18" s="19">
        <f t="shared" si="9"/>
        <v>-0.11578057775046097</v>
      </c>
      <c r="AB18" s="16">
        <v>46148</v>
      </c>
      <c r="AC18" s="16">
        <v>46512</v>
      </c>
    </row>
    <row r="19" spans="1:29" x14ac:dyDescent="0.2">
      <c r="A19" s="17" t="s">
        <v>40</v>
      </c>
      <c r="B19" t="s">
        <v>81</v>
      </c>
      <c r="C19" t="s">
        <v>80</v>
      </c>
      <c r="D19">
        <v>930</v>
      </c>
      <c r="E19" s="22" t="s">
        <v>63</v>
      </c>
      <c r="F19" s="16">
        <v>46116</v>
      </c>
      <c r="G19" s="27">
        <f t="shared" si="0"/>
        <v>12</v>
      </c>
      <c r="H19" s="17">
        <v>1370</v>
      </c>
      <c r="I19" s="17">
        <v>1635</v>
      </c>
      <c r="J19" s="33">
        <f t="shared" si="10"/>
        <v>1.7580645161290323</v>
      </c>
      <c r="K19" s="17">
        <v>1635</v>
      </c>
      <c r="L19" s="17">
        <v>0</v>
      </c>
      <c r="M19" s="17">
        <f t="shared" si="1"/>
        <v>1635</v>
      </c>
      <c r="N19" s="20">
        <f t="shared" si="2"/>
        <v>1</v>
      </c>
      <c r="O19" s="17">
        <f t="shared" si="3"/>
        <v>1498.75</v>
      </c>
      <c r="P19" s="31">
        <f t="shared" si="4"/>
        <v>1.6115591397849462</v>
      </c>
      <c r="Q19" s="17">
        <v>1615</v>
      </c>
      <c r="R19" s="17">
        <v>0</v>
      </c>
      <c r="S19" s="27">
        <v>12</v>
      </c>
      <c r="T19" s="17">
        <f t="shared" si="5"/>
        <v>1615</v>
      </c>
      <c r="U19" s="23">
        <f t="shared" si="6"/>
        <v>1.7365591397849462</v>
      </c>
      <c r="V19" s="17">
        <f t="shared" si="7"/>
        <v>20</v>
      </c>
      <c r="W19" s="18">
        <f t="shared" si="8"/>
        <v>1.238390092879257E-2</v>
      </c>
      <c r="X19" s="19">
        <f t="shared" si="9"/>
        <v>-7.198142414860681E-2</v>
      </c>
      <c r="AB19" s="16">
        <v>46116</v>
      </c>
      <c r="AC19" s="16">
        <v>46480</v>
      </c>
    </row>
    <row r="20" spans="1:29" x14ac:dyDescent="0.2">
      <c r="A20" s="17" t="s">
        <v>40</v>
      </c>
      <c r="B20" t="s">
        <v>64</v>
      </c>
      <c r="C20" t="s">
        <v>80</v>
      </c>
      <c r="D20">
        <v>930</v>
      </c>
      <c r="E20" s="22" t="s">
        <v>65</v>
      </c>
      <c r="F20" s="16">
        <v>46155</v>
      </c>
      <c r="G20" s="27">
        <f t="shared" si="0"/>
        <v>12</v>
      </c>
      <c r="H20" s="17">
        <v>1303</v>
      </c>
      <c r="I20" s="17">
        <v>1494</v>
      </c>
      <c r="J20" s="33">
        <f t="shared" si="10"/>
        <v>1.6064516129032258</v>
      </c>
      <c r="K20" s="17">
        <v>1494</v>
      </c>
      <c r="L20" s="17">
        <v>0</v>
      </c>
      <c r="M20" s="17">
        <f t="shared" si="1"/>
        <v>1494</v>
      </c>
      <c r="N20" s="20">
        <f t="shared" si="2"/>
        <v>1</v>
      </c>
      <c r="O20" s="17">
        <f t="shared" si="3"/>
        <v>1369.5</v>
      </c>
      <c r="P20" s="31">
        <f t="shared" si="4"/>
        <v>1.4725806451612904</v>
      </c>
      <c r="Q20" s="17">
        <v>1479</v>
      </c>
      <c r="R20" s="17">
        <v>747</v>
      </c>
      <c r="S20" s="27">
        <v>12</v>
      </c>
      <c r="T20" s="17">
        <f t="shared" si="5"/>
        <v>1416.75</v>
      </c>
      <c r="U20" s="23">
        <f t="shared" si="6"/>
        <v>1.5233870967741936</v>
      </c>
      <c r="V20" s="17">
        <f t="shared" si="7"/>
        <v>15</v>
      </c>
      <c r="W20" s="18">
        <f t="shared" si="8"/>
        <v>1.0141987829614604E-2</v>
      </c>
      <c r="X20" s="19">
        <f t="shared" si="9"/>
        <v>-3.3350979354155638E-2</v>
      </c>
      <c r="AB20" s="16">
        <v>46155</v>
      </c>
      <c r="AC20" s="16">
        <v>46519</v>
      </c>
    </row>
    <row r="21" spans="1:29" x14ac:dyDescent="0.2">
      <c r="A21" s="17" t="s">
        <v>40</v>
      </c>
      <c r="B21" t="s">
        <v>66</v>
      </c>
      <c r="C21" t="s">
        <v>67</v>
      </c>
      <c r="D21">
        <v>1028</v>
      </c>
      <c r="E21" s="22" t="s">
        <v>68</v>
      </c>
      <c r="F21" s="16">
        <v>46134</v>
      </c>
      <c r="G21" s="27">
        <f t="shared" si="0"/>
        <v>12</v>
      </c>
      <c r="H21" s="17">
        <v>1647</v>
      </c>
      <c r="I21" s="17">
        <v>1830</v>
      </c>
      <c r="J21" s="33">
        <f t="shared" si="10"/>
        <v>1.7801556420233462</v>
      </c>
      <c r="K21" s="17">
        <v>1830</v>
      </c>
      <c r="L21" s="17">
        <v>0</v>
      </c>
      <c r="M21" s="17">
        <f t="shared" si="1"/>
        <v>1830</v>
      </c>
      <c r="N21" s="20">
        <f t="shared" si="2"/>
        <v>1</v>
      </c>
      <c r="O21" s="17">
        <f t="shared" si="3"/>
        <v>1677.5</v>
      </c>
      <c r="P21" s="31">
        <f t="shared" si="4"/>
        <v>1.6318093385214008</v>
      </c>
      <c r="Q21" s="17">
        <v>1810</v>
      </c>
      <c r="R21" s="17">
        <v>0</v>
      </c>
      <c r="S21" s="27">
        <v>12</v>
      </c>
      <c r="T21" s="17">
        <f t="shared" si="5"/>
        <v>1810</v>
      </c>
      <c r="U21" s="23">
        <f t="shared" si="6"/>
        <v>1.7607003891050583</v>
      </c>
      <c r="V21" s="17">
        <f t="shared" si="7"/>
        <v>20</v>
      </c>
      <c r="W21" s="18">
        <f t="shared" si="8"/>
        <v>1.1049723756906077E-2</v>
      </c>
      <c r="X21" s="19">
        <f t="shared" si="9"/>
        <v>-7.3204419889502756E-2</v>
      </c>
      <c r="AB21" s="16">
        <v>46134</v>
      </c>
      <c r="AC21" s="16">
        <v>46498</v>
      </c>
    </row>
    <row r="22" spans="1:29" hidden="1" x14ac:dyDescent="0.2">
      <c r="A22" s="17" t="s">
        <v>40</v>
      </c>
      <c r="B22" t="s">
        <v>69</v>
      </c>
      <c r="C22" t="s">
        <v>72</v>
      </c>
      <c r="D22">
        <v>1130</v>
      </c>
      <c r="E22" s="22" t="s">
        <v>73</v>
      </c>
      <c r="F22" s="16">
        <v>46171</v>
      </c>
      <c r="G22" s="27">
        <f t="shared" si="0"/>
        <v>12</v>
      </c>
      <c r="H22" s="17">
        <v>1615</v>
      </c>
      <c r="I22" s="17">
        <v>1885</v>
      </c>
      <c r="J22" s="33">
        <f t="shared" si="10"/>
        <v>1.668141592920354</v>
      </c>
      <c r="K22" s="17">
        <v>0</v>
      </c>
      <c r="L22" s="17">
        <v>0</v>
      </c>
      <c r="M22" s="17">
        <f t="shared" si="1"/>
        <v>0</v>
      </c>
      <c r="N22" s="20">
        <f t="shared" si="2"/>
        <v>0</v>
      </c>
      <c r="O22" s="17">
        <f t="shared" si="3"/>
        <v>1885</v>
      </c>
      <c r="P22" s="31">
        <f t="shared" si="4"/>
        <v>1.668141592920354</v>
      </c>
      <c r="Q22" s="17">
        <v>1870</v>
      </c>
      <c r="R22" s="17">
        <v>0</v>
      </c>
      <c r="S22" s="27">
        <v>7</v>
      </c>
      <c r="T22" s="17">
        <f t="shared" si="5"/>
        <v>1870</v>
      </c>
      <c r="U22" s="23">
        <f t="shared" si="6"/>
        <v>1.654867256637168</v>
      </c>
      <c r="V22" s="17">
        <f t="shared" si="7"/>
        <v>15</v>
      </c>
      <c r="W22" s="18">
        <f t="shared" si="8"/>
        <v>8.0213903743315516E-3</v>
      </c>
      <c r="X22" s="19">
        <f t="shared" si="9"/>
        <v>8.0213903743315516E-3</v>
      </c>
      <c r="AB22" s="16">
        <v>46171</v>
      </c>
      <c r="AC22" s="16">
        <v>46535</v>
      </c>
    </row>
    <row r="23" spans="1:29" x14ac:dyDescent="0.2">
      <c r="A23" s="17" t="s">
        <v>40</v>
      </c>
      <c r="B23" t="s">
        <v>74</v>
      </c>
      <c r="C23" t="s">
        <v>72</v>
      </c>
      <c r="D23">
        <v>1130</v>
      </c>
      <c r="E23" s="22" t="s">
        <v>70</v>
      </c>
      <c r="F23" s="16">
        <v>46194</v>
      </c>
      <c r="G23" s="27">
        <f t="shared" si="0"/>
        <v>12</v>
      </c>
      <c r="H23" s="17">
        <v>1440</v>
      </c>
      <c r="I23" s="17">
        <v>1799</v>
      </c>
      <c r="J23" s="33">
        <f t="shared" si="10"/>
        <v>1.5920353982300885</v>
      </c>
      <c r="K23" s="17">
        <v>0</v>
      </c>
      <c r="L23" s="17">
        <v>0</v>
      </c>
      <c r="M23" s="17">
        <f t="shared" si="1"/>
        <v>0</v>
      </c>
      <c r="N23" s="20">
        <f t="shared" si="2"/>
        <v>0</v>
      </c>
      <c r="O23" s="17">
        <f t="shared" si="3"/>
        <v>1799</v>
      </c>
      <c r="P23" s="31">
        <f t="shared" si="4"/>
        <v>1.5920353982300885</v>
      </c>
      <c r="Q23" s="17">
        <v>1799</v>
      </c>
      <c r="R23" s="17">
        <v>0</v>
      </c>
      <c r="S23" s="27">
        <v>12</v>
      </c>
      <c r="T23" s="17">
        <f t="shared" si="5"/>
        <v>1799</v>
      </c>
      <c r="U23" s="23">
        <f t="shared" si="6"/>
        <v>1.5920353982300885</v>
      </c>
      <c r="V23" s="17">
        <f t="shared" si="7"/>
        <v>0</v>
      </c>
      <c r="W23" s="18">
        <f t="shared" si="8"/>
        <v>0</v>
      </c>
      <c r="X23" s="19">
        <f t="shared" si="9"/>
        <v>0</v>
      </c>
      <c r="AB23" s="16">
        <v>46194</v>
      </c>
      <c r="AC23" s="16">
        <v>46558</v>
      </c>
    </row>
    <row r="24" spans="1:29" x14ac:dyDescent="0.2">
      <c r="A24" s="17" t="s">
        <v>40</v>
      </c>
      <c r="B24" t="s">
        <v>71</v>
      </c>
      <c r="C24" t="s">
        <v>84</v>
      </c>
      <c r="D24">
        <v>550</v>
      </c>
      <c r="E24" s="22" t="s">
        <v>85</v>
      </c>
      <c r="F24" s="16">
        <v>46143</v>
      </c>
      <c r="G24" s="27">
        <f t="shared" si="0"/>
        <v>12</v>
      </c>
      <c r="H24" s="17">
        <v>986</v>
      </c>
      <c r="I24" s="17">
        <v>1055</v>
      </c>
      <c r="J24" s="33">
        <f t="shared" si="10"/>
        <v>1.9181818181818182</v>
      </c>
      <c r="K24" s="17">
        <v>1055</v>
      </c>
      <c r="L24" s="17">
        <v>0</v>
      </c>
      <c r="M24" s="17">
        <f t="shared" si="1"/>
        <v>1055</v>
      </c>
      <c r="N24" s="20">
        <f t="shared" si="2"/>
        <v>1</v>
      </c>
      <c r="O24" s="17">
        <f t="shared" si="3"/>
        <v>967.08333333333337</v>
      </c>
      <c r="P24" s="31">
        <f t="shared" si="4"/>
        <v>1.7583333333333333</v>
      </c>
      <c r="Q24" s="17">
        <v>1035</v>
      </c>
      <c r="R24" s="17">
        <v>0</v>
      </c>
      <c r="S24" s="27">
        <v>12</v>
      </c>
      <c r="T24" s="17">
        <f t="shared" si="5"/>
        <v>1035</v>
      </c>
      <c r="U24" s="23">
        <f t="shared" si="6"/>
        <v>1.8818181818181818</v>
      </c>
      <c r="V24" s="17">
        <f t="shared" si="7"/>
        <v>20</v>
      </c>
      <c r="W24" s="18">
        <f t="shared" si="8"/>
        <v>1.932367149758454E-2</v>
      </c>
      <c r="X24" s="19">
        <f t="shared" si="9"/>
        <v>-6.5619967793880796E-2</v>
      </c>
      <c r="AB24" s="16">
        <v>46143</v>
      </c>
      <c r="AC24" s="16">
        <v>46507</v>
      </c>
    </row>
    <row r="25" spans="1:29" x14ac:dyDescent="0.2">
      <c r="A25" s="17" t="s">
        <v>40</v>
      </c>
      <c r="B25" t="s">
        <v>86</v>
      </c>
      <c r="C25" t="s">
        <v>84</v>
      </c>
      <c r="D25">
        <v>550</v>
      </c>
      <c r="E25" s="22" t="s">
        <v>87</v>
      </c>
      <c r="F25" s="16">
        <v>46139</v>
      </c>
      <c r="G25" s="27">
        <f t="shared" si="0"/>
        <v>12</v>
      </c>
      <c r="H25" s="17">
        <v>1111</v>
      </c>
      <c r="I25" s="17">
        <v>1341</v>
      </c>
      <c r="J25" s="33">
        <f t="shared" si="10"/>
        <v>2.438181818181818</v>
      </c>
      <c r="K25" s="17">
        <v>0</v>
      </c>
      <c r="L25" s="17">
        <v>0</v>
      </c>
      <c r="M25" s="17">
        <f t="shared" si="1"/>
        <v>0</v>
      </c>
      <c r="N25" s="20">
        <f t="shared" si="2"/>
        <v>0</v>
      </c>
      <c r="O25" s="17">
        <f t="shared" si="3"/>
        <v>1341</v>
      </c>
      <c r="P25" s="31">
        <f t="shared" si="4"/>
        <v>2.438181818181818</v>
      </c>
      <c r="Q25" s="17">
        <v>1321</v>
      </c>
      <c r="R25" s="17">
        <v>0</v>
      </c>
      <c r="S25" s="27">
        <v>12</v>
      </c>
      <c r="T25" s="17">
        <f t="shared" si="5"/>
        <v>1321</v>
      </c>
      <c r="U25" s="23">
        <f t="shared" si="6"/>
        <v>2.4018181818181819</v>
      </c>
      <c r="V25" s="17">
        <f t="shared" si="7"/>
        <v>20</v>
      </c>
      <c r="W25" s="18">
        <f t="shared" si="8"/>
        <v>1.514004542013626E-2</v>
      </c>
      <c r="X25" s="19">
        <f t="shared" si="9"/>
        <v>1.514004542013626E-2</v>
      </c>
      <c r="AB25" s="16">
        <v>46139</v>
      </c>
      <c r="AC25" s="16">
        <v>46503</v>
      </c>
    </row>
    <row r="26" spans="1:29" x14ac:dyDescent="0.2">
      <c r="A26" s="17" t="s">
        <v>40</v>
      </c>
      <c r="B26" t="s">
        <v>88</v>
      </c>
      <c r="C26" t="s">
        <v>84</v>
      </c>
      <c r="D26">
        <v>550</v>
      </c>
      <c r="E26" s="22" t="s">
        <v>89</v>
      </c>
      <c r="F26" s="16">
        <v>46158</v>
      </c>
      <c r="G26" s="27">
        <f t="shared" si="0"/>
        <v>12</v>
      </c>
      <c r="H26" s="17">
        <v>1086</v>
      </c>
      <c r="I26" s="17">
        <v>1281</v>
      </c>
      <c r="J26" s="33">
        <f t="shared" si="10"/>
        <v>2.3290909090909091</v>
      </c>
      <c r="K26" s="17">
        <v>1528.94</v>
      </c>
      <c r="L26" s="17">
        <v>0</v>
      </c>
      <c r="M26" s="17">
        <f t="shared" si="1"/>
        <v>1528.94</v>
      </c>
      <c r="N26" s="20">
        <f t="shared" si="2"/>
        <v>1.1935519125683061</v>
      </c>
      <c r="O26" s="17">
        <f t="shared" si="3"/>
        <v>1153.5883333333334</v>
      </c>
      <c r="P26" s="31">
        <f t="shared" si="4"/>
        <v>2.0974333333333335</v>
      </c>
      <c r="Q26" s="17">
        <v>1266</v>
      </c>
      <c r="R26" s="17">
        <v>0</v>
      </c>
      <c r="S26" s="27">
        <v>12</v>
      </c>
      <c r="T26" s="17">
        <f t="shared" si="5"/>
        <v>1266</v>
      </c>
      <c r="U26" s="23">
        <f t="shared" si="6"/>
        <v>2.3018181818181818</v>
      </c>
      <c r="V26" s="17">
        <f t="shared" si="7"/>
        <v>15</v>
      </c>
      <c r="W26" s="18">
        <f t="shared" si="8"/>
        <v>1.1848341232227487E-2</v>
      </c>
      <c r="X26" s="19">
        <f t="shared" si="9"/>
        <v>-8.8792785676671912E-2</v>
      </c>
      <c r="AB26" s="16">
        <v>46158</v>
      </c>
      <c r="AC26" s="16">
        <v>46522</v>
      </c>
    </row>
    <row r="27" spans="1:29" x14ac:dyDescent="0.2">
      <c r="A27" s="17" t="s">
        <v>40</v>
      </c>
      <c r="B27" t="s">
        <v>90</v>
      </c>
      <c r="C27" t="s">
        <v>84</v>
      </c>
      <c r="D27">
        <v>550</v>
      </c>
      <c r="E27" s="22" t="s">
        <v>91</v>
      </c>
      <c r="F27" s="16">
        <v>46135</v>
      </c>
      <c r="G27" s="27">
        <f t="shared" si="0"/>
        <v>12</v>
      </c>
      <c r="H27" s="17">
        <v>1161</v>
      </c>
      <c r="I27" s="17">
        <v>1395</v>
      </c>
      <c r="J27" s="33">
        <f t="shared" si="10"/>
        <v>2.5363636363636362</v>
      </c>
      <c r="K27" s="17">
        <v>0</v>
      </c>
      <c r="L27" s="17">
        <v>0</v>
      </c>
      <c r="M27" s="17">
        <f t="shared" si="1"/>
        <v>0</v>
      </c>
      <c r="N27" s="20">
        <f t="shared" si="2"/>
        <v>0</v>
      </c>
      <c r="O27" s="17">
        <f t="shared" si="3"/>
        <v>1395</v>
      </c>
      <c r="P27" s="31">
        <f t="shared" si="4"/>
        <v>2.5363636363636362</v>
      </c>
      <c r="Q27" s="17">
        <v>1375</v>
      </c>
      <c r="R27" s="17">
        <v>0</v>
      </c>
      <c r="S27" s="27">
        <v>12</v>
      </c>
      <c r="T27" s="17">
        <f t="shared" si="5"/>
        <v>1375</v>
      </c>
      <c r="U27" s="23">
        <f t="shared" si="6"/>
        <v>2.5</v>
      </c>
      <c r="V27" s="17">
        <f t="shared" si="7"/>
        <v>20</v>
      </c>
      <c r="W27" s="18">
        <f t="shared" si="8"/>
        <v>1.4545454545454545E-2</v>
      </c>
      <c r="X27" s="19">
        <f t="shared" si="9"/>
        <v>1.4545454545454545E-2</v>
      </c>
      <c r="AB27" s="16">
        <v>46135</v>
      </c>
      <c r="AC27" s="16">
        <v>46499</v>
      </c>
    </row>
    <row r="28" spans="1:29" x14ac:dyDescent="0.2">
      <c r="A28" s="17" t="s">
        <v>40</v>
      </c>
      <c r="B28" t="s">
        <v>92</v>
      </c>
      <c r="C28" t="s">
        <v>93</v>
      </c>
      <c r="D28">
        <v>500</v>
      </c>
      <c r="E28" s="22" t="s">
        <v>94</v>
      </c>
      <c r="F28" s="16">
        <v>46154</v>
      </c>
      <c r="G28" s="27">
        <f t="shared" si="0"/>
        <v>12</v>
      </c>
      <c r="H28" s="17">
        <v>1050</v>
      </c>
      <c r="I28" s="17">
        <v>1105</v>
      </c>
      <c r="J28" s="33">
        <f t="shared" si="10"/>
        <v>2.21</v>
      </c>
      <c r="K28" s="17">
        <v>2210</v>
      </c>
      <c r="L28" s="17">
        <v>0</v>
      </c>
      <c r="M28" s="17">
        <f t="shared" si="1"/>
        <v>2210</v>
      </c>
      <c r="N28" s="20">
        <f t="shared" si="2"/>
        <v>2</v>
      </c>
      <c r="O28" s="17">
        <f t="shared" si="3"/>
        <v>920.83333333333337</v>
      </c>
      <c r="P28" s="31">
        <f t="shared" si="4"/>
        <v>1.8416666666666668</v>
      </c>
      <c r="Q28" s="17">
        <v>1090</v>
      </c>
      <c r="R28" s="17">
        <v>545</v>
      </c>
      <c r="S28" s="27">
        <v>12</v>
      </c>
      <c r="T28" s="17">
        <f t="shared" si="5"/>
        <v>1044.5833333333333</v>
      </c>
      <c r="U28" s="23">
        <f t="shared" si="6"/>
        <v>2.0891666666666664</v>
      </c>
      <c r="V28" s="17">
        <f t="shared" si="7"/>
        <v>15</v>
      </c>
      <c r="W28" s="18">
        <f t="shared" si="8"/>
        <v>1.3761467889908258E-2</v>
      </c>
      <c r="X28" s="19">
        <f t="shared" si="9"/>
        <v>-0.11846828879138402</v>
      </c>
      <c r="AB28" s="16">
        <v>46154</v>
      </c>
      <c r="AC28" s="16">
        <v>46518</v>
      </c>
    </row>
    <row r="29" spans="1:29" x14ac:dyDescent="0.2">
      <c r="A29" s="17" t="s">
        <v>40</v>
      </c>
      <c r="B29" t="s">
        <v>95</v>
      </c>
      <c r="C29" t="s">
        <v>93</v>
      </c>
      <c r="D29">
        <v>500</v>
      </c>
      <c r="E29" s="22" t="s">
        <v>96</v>
      </c>
      <c r="F29" s="16">
        <v>46203</v>
      </c>
      <c r="G29" s="27">
        <f t="shared" si="0"/>
        <v>12</v>
      </c>
      <c r="H29" s="17">
        <v>1010</v>
      </c>
      <c r="I29" s="17">
        <v>1250</v>
      </c>
      <c r="J29" s="33">
        <f t="shared" si="10"/>
        <v>2.5</v>
      </c>
      <c r="K29" s="17">
        <v>0</v>
      </c>
      <c r="L29" s="17">
        <v>0</v>
      </c>
      <c r="M29" s="17">
        <f t="shared" si="1"/>
        <v>0</v>
      </c>
      <c r="N29" s="20">
        <f t="shared" si="2"/>
        <v>0</v>
      </c>
      <c r="O29" s="17">
        <f t="shared" si="3"/>
        <v>1250</v>
      </c>
      <c r="P29" s="31">
        <f t="shared" si="4"/>
        <v>2.5</v>
      </c>
      <c r="Q29" s="17">
        <v>1250</v>
      </c>
      <c r="R29" s="17">
        <v>0</v>
      </c>
      <c r="S29" s="27">
        <v>12</v>
      </c>
      <c r="T29" s="17">
        <f t="shared" si="5"/>
        <v>1250</v>
      </c>
      <c r="U29" s="23">
        <f t="shared" si="6"/>
        <v>2.5</v>
      </c>
      <c r="V29" s="17">
        <f t="shared" si="7"/>
        <v>0</v>
      </c>
      <c r="W29" s="18">
        <f t="shared" si="8"/>
        <v>0</v>
      </c>
      <c r="X29" s="19">
        <f t="shared" si="9"/>
        <v>0</v>
      </c>
      <c r="AB29" s="16">
        <v>46203</v>
      </c>
      <c r="AC29" s="16">
        <v>46567</v>
      </c>
    </row>
    <row r="30" spans="1:29" x14ac:dyDescent="0.2">
      <c r="A30" s="17" t="s">
        <v>40</v>
      </c>
      <c r="B30" t="s">
        <v>97</v>
      </c>
      <c r="C30" t="s">
        <v>93</v>
      </c>
      <c r="D30">
        <v>500</v>
      </c>
      <c r="E30" s="22" t="s">
        <v>98</v>
      </c>
      <c r="F30" s="16">
        <v>46175</v>
      </c>
      <c r="G30" s="27">
        <f t="shared" si="0"/>
        <v>12</v>
      </c>
      <c r="H30" s="17">
        <v>1035</v>
      </c>
      <c r="I30" s="17">
        <v>1100</v>
      </c>
      <c r="J30" s="33">
        <f t="shared" si="10"/>
        <v>2.2000000000000002</v>
      </c>
      <c r="K30" s="17">
        <v>0</v>
      </c>
      <c r="L30" s="17">
        <v>0</v>
      </c>
      <c r="M30" s="17">
        <f t="shared" si="1"/>
        <v>0</v>
      </c>
      <c r="N30" s="20">
        <f t="shared" si="2"/>
        <v>0</v>
      </c>
      <c r="O30" s="17">
        <f t="shared" si="3"/>
        <v>1100</v>
      </c>
      <c r="P30" s="31">
        <f t="shared" si="4"/>
        <v>2.2000000000000002</v>
      </c>
      <c r="Q30" s="17">
        <v>1075</v>
      </c>
      <c r="R30" s="17">
        <v>1612.5</v>
      </c>
      <c r="S30" s="27">
        <v>12</v>
      </c>
      <c r="T30" s="17">
        <f t="shared" si="5"/>
        <v>940.625</v>
      </c>
      <c r="U30" s="23">
        <f t="shared" si="6"/>
        <v>1.8812500000000001</v>
      </c>
      <c r="V30" s="17">
        <f t="shared" si="7"/>
        <v>25</v>
      </c>
      <c r="W30" s="18">
        <f t="shared" si="8"/>
        <v>2.3255813953488372E-2</v>
      </c>
      <c r="X30" s="19">
        <f t="shared" si="9"/>
        <v>0.16943521594684385</v>
      </c>
      <c r="AB30" s="16">
        <v>46175</v>
      </c>
      <c r="AC30" s="16">
        <v>46539</v>
      </c>
    </row>
    <row r="32" spans="1:29" ht="21" x14ac:dyDescent="0.25">
      <c r="B32" s="7" t="s">
        <v>61</v>
      </c>
    </row>
    <row r="33" spans="1:29" ht="16" x14ac:dyDescent="0.2">
      <c r="B33" s="8" t="s">
        <v>99</v>
      </c>
    </row>
    <row r="34" spans="1:29" ht="21" customHeight="1" x14ac:dyDescent="0.2"/>
    <row r="35" spans="1:29" ht="3" customHeight="1" x14ac:dyDescent="0.2">
      <c r="B35" s="6" t="s">
        <v>188</v>
      </c>
      <c r="C35" s="5" t="s">
        <v>189</v>
      </c>
      <c r="D35" s="5" t="s">
        <v>190</v>
      </c>
      <c r="E35" s="1" t="s">
        <v>191</v>
      </c>
      <c r="F35" s="2" t="s">
        <v>18</v>
      </c>
      <c r="G35" s="4" t="s">
        <v>192</v>
      </c>
      <c r="H35" s="4" t="s">
        <v>193</v>
      </c>
      <c r="I35" s="4" t="s">
        <v>194</v>
      </c>
      <c r="J35" s="4" t="s">
        <v>195</v>
      </c>
      <c r="K35" s="4" t="s">
        <v>196</v>
      </c>
      <c r="L35" s="4" t="s">
        <v>197</v>
      </c>
      <c r="M35" s="4" t="s">
        <v>198</v>
      </c>
      <c r="N35" s="4" t="s">
        <v>199</v>
      </c>
      <c r="O35" s="4" t="s">
        <v>200</v>
      </c>
      <c r="P35" s="3" t="s">
        <v>201</v>
      </c>
      <c r="Q35" s="2" t="s">
        <v>19</v>
      </c>
      <c r="R35" s="4" t="s">
        <v>202</v>
      </c>
      <c r="S35" s="4" t="s">
        <v>203</v>
      </c>
      <c r="T35" s="4" t="s">
        <v>204</v>
      </c>
      <c r="U35" s="3" t="s">
        <v>205</v>
      </c>
      <c r="V35" s="6" t="s">
        <v>206</v>
      </c>
      <c r="W35" s="5" t="s">
        <v>207</v>
      </c>
      <c r="X35" s="1" t="s">
        <v>208</v>
      </c>
    </row>
    <row r="36" spans="1:29" ht="16" x14ac:dyDescent="0.2">
      <c r="B36" s="10" t="s">
        <v>1</v>
      </c>
      <c r="C36" s="11" t="s">
        <v>2</v>
      </c>
      <c r="D36" s="11" t="s">
        <v>3</v>
      </c>
      <c r="E36" s="12" t="s">
        <v>4</v>
      </c>
      <c r="F36" s="13" t="s">
        <v>60</v>
      </c>
      <c r="G36" s="14" t="s">
        <v>6</v>
      </c>
      <c r="H36" s="14" t="s">
        <v>7</v>
      </c>
      <c r="I36" s="14" t="s">
        <v>8</v>
      </c>
      <c r="J36" s="28" t="s">
        <v>180</v>
      </c>
      <c r="K36" s="14" t="s">
        <v>9</v>
      </c>
      <c r="L36" s="14" t="s">
        <v>10</v>
      </c>
      <c r="M36" s="14" t="s">
        <v>11</v>
      </c>
      <c r="N36" s="14" t="s">
        <v>12</v>
      </c>
      <c r="O36" s="14" t="s">
        <v>13</v>
      </c>
      <c r="P36" s="29" t="s">
        <v>181</v>
      </c>
      <c r="Q36" s="13" t="s">
        <v>8</v>
      </c>
      <c r="R36" s="14" t="s">
        <v>11</v>
      </c>
      <c r="S36" s="14" t="s">
        <v>6</v>
      </c>
      <c r="T36" s="14" t="s">
        <v>13</v>
      </c>
      <c r="U36" s="15" t="s">
        <v>14</v>
      </c>
      <c r="V36" s="13" t="s">
        <v>15</v>
      </c>
      <c r="W36" s="14" t="s">
        <v>16</v>
      </c>
      <c r="X36" s="15" t="s">
        <v>17</v>
      </c>
    </row>
    <row r="37" spans="1:29" x14ac:dyDescent="0.2">
      <c r="A37" t="s">
        <v>40</v>
      </c>
      <c r="B37" t="s">
        <v>100</v>
      </c>
      <c r="C37" t="s">
        <v>44</v>
      </c>
      <c r="D37">
        <v>657</v>
      </c>
      <c r="E37" s="22" t="s">
        <v>101</v>
      </c>
      <c r="F37" s="16">
        <v>46199</v>
      </c>
      <c r="G37">
        <f t="shared" ref="G37:G60" si="11">ROUND((AC37-AB37)/30,0)</f>
        <v>12</v>
      </c>
      <c r="H37" s="17">
        <v>1094</v>
      </c>
      <c r="I37" s="17">
        <v>1094</v>
      </c>
      <c r="J37" s="33">
        <f>I37/D37</f>
        <v>1.665144596651446</v>
      </c>
      <c r="K37" s="17">
        <v>0</v>
      </c>
      <c r="L37" s="17">
        <v>0</v>
      </c>
      <c r="M37" s="17">
        <f t="shared" ref="M37:M60" si="12">K37+L37</f>
        <v>0</v>
      </c>
      <c r="N37" s="20">
        <f t="shared" ref="N37:N60" si="13">IFERROR(M37/I37,0)</f>
        <v>0</v>
      </c>
      <c r="O37" s="17">
        <f t="shared" ref="O37:O60" si="14">IFERROR(((I37*G37)-M37)/G37,0)</f>
        <v>1094</v>
      </c>
      <c r="P37" s="31">
        <f t="shared" ref="P37:P60" si="15">IFERROR(O37/D37,0)</f>
        <v>1.665144596651446</v>
      </c>
      <c r="Q37" s="17">
        <v>1330</v>
      </c>
      <c r="R37" s="17">
        <v>2660</v>
      </c>
      <c r="S37" s="27">
        <v>12</v>
      </c>
      <c r="T37" s="17">
        <f t="shared" ref="T37:T60" si="16">IFERROR(((Q37*S37)-R37)/S37,0)</f>
        <v>1108.3333333333333</v>
      </c>
      <c r="U37" s="23">
        <f t="shared" ref="U37:U60" si="17">IFERROR(T37/D37,0)</f>
        <v>1.6869609335362759</v>
      </c>
      <c r="V37" s="17">
        <f t="shared" ref="V37:V60" si="18">I37-Q37</f>
        <v>-236</v>
      </c>
      <c r="W37" s="18">
        <f t="shared" ref="W37:W60" si="19">IFERROR((I37-Q37)/Q37,0)</f>
        <v>-0.1774436090225564</v>
      </c>
      <c r="X37" s="19">
        <f t="shared" ref="X37:X60" si="20">IFERROR((O37-T37)/T37,0)</f>
        <v>-1.2932330827067602E-2</v>
      </c>
      <c r="Y37" s="17"/>
      <c r="AB37" s="16">
        <v>46199</v>
      </c>
      <c r="AC37" s="16">
        <v>46563</v>
      </c>
    </row>
    <row r="38" spans="1:29" hidden="1" x14ac:dyDescent="0.2">
      <c r="A38" t="s">
        <v>40</v>
      </c>
      <c r="B38" t="s">
        <v>58</v>
      </c>
      <c r="C38" t="s">
        <v>44</v>
      </c>
      <c r="D38">
        <v>657</v>
      </c>
      <c r="E38" s="22" t="s">
        <v>57</v>
      </c>
      <c r="F38" s="16">
        <v>46113</v>
      </c>
      <c r="G38">
        <f t="shared" si="11"/>
        <v>15</v>
      </c>
      <c r="H38" s="17">
        <v>1219</v>
      </c>
      <c r="I38" s="17">
        <v>1059</v>
      </c>
      <c r="J38" s="33">
        <f t="shared" ref="J38:J74" si="21">I38/D38</f>
        <v>1.6118721461187215</v>
      </c>
      <c r="K38" s="17">
        <v>0</v>
      </c>
      <c r="L38" s="17">
        <v>0</v>
      </c>
      <c r="M38" s="17">
        <f t="shared" si="12"/>
        <v>0</v>
      </c>
      <c r="N38" s="20">
        <f t="shared" si="13"/>
        <v>0</v>
      </c>
      <c r="O38" s="17">
        <f t="shared" si="14"/>
        <v>1059</v>
      </c>
      <c r="P38" s="31">
        <f t="shared" si="15"/>
        <v>1.6118721461187215</v>
      </c>
      <c r="Q38" s="17">
        <v>1330</v>
      </c>
      <c r="R38" s="17">
        <v>2660</v>
      </c>
      <c r="S38" s="27">
        <v>12</v>
      </c>
      <c r="T38" s="17">
        <f t="shared" si="16"/>
        <v>1108.3333333333333</v>
      </c>
      <c r="U38" s="23">
        <f t="shared" si="17"/>
        <v>1.6869609335362759</v>
      </c>
      <c r="V38" s="17">
        <f t="shared" si="18"/>
        <v>-271</v>
      </c>
      <c r="W38" s="18">
        <f t="shared" si="19"/>
        <v>-0.20375939849624061</v>
      </c>
      <c r="X38" s="19">
        <f t="shared" si="20"/>
        <v>-4.4511278195488654E-2</v>
      </c>
      <c r="Y38" s="17"/>
      <c r="AB38" s="16">
        <v>46113</v>
      </c>
      <c r="AC38" s="16">
        <v>46568</v>
      </c>
    </row>
    <row r="39" spans="1:29" x14ac:dyDescent="0.2">
      <c r="A39" t="s">
        <v>40</v>
      </c>
      <c r="B39" t="s">
        <v>56</v>
      </c>
      <c r="C39" t="s">
        <v>44</v>
      </c>
      <c r="D39">
        <v>657</v>
      </c>
      <c r="E39" s="22" t="s">
        <v>55</v>
      </c>
      <c r="F39" s="16">
        <v>46129</v>
      </c>
      <c r="G39">
        <f t="shared" si="11"/>
        <v>12</v>
      </c>
      <c r="H39" s="17">
        <v>1144</v>
      </c>
      <c r="I39" s="17">
        <v>934</v>
      </c>
      <c r="J39" s="33">
        <f t="shared" si="21"/>
        <v>1.421613394216134</v>
      </c>
      <c r="K39" s="17">
        <v>0</v>
      </c>
      <c r="L39" s="17">
        <v>0</v>
      </c>
      <c r="M39" s="17">
        <f t="shared" si="12"/>
        <v>0</v>
      </c>
      <c r="N39" s="20">
        <f t="shared" si="13"/>
        <v>0</v>
      </c>
      <c r="O39" s="17">
        <f t="shared" si="14"/>
        <v>934</v>
      </c>
      <c r="P39" s="31">
        <f t="shared" si="15"/>
        <v>1.421613394216134</v>
      </c>
      <c r="Q39" s="17">
        <v>1320</v>
      </c>
      <c r="R39" s="17">
        <v>0</v>
      </c>
      <c r="S39" s="27">
        <v>12</v>
      </c>
      <c r="T39" s="17">
        <f t="shared" si="16"/>
        <v>1320</v>
      </c>
      <c r="U39" s="23">
        <f t="shared" si="17"/>
        <v>2.0091324200913241</v>
      </c>
      <c r="V39" s="17">
        <f t="shared" si="18"/>
        <v>-386</v>
      </c>
      <c r="W39" s="18">
        <f t="shared" si="19"/>
        <v>-0.29242424242424242</v>
      </c>
      <c r="X39" s="19">
        <f t="shared" si="20"/>
        <v>-0.29242424242424242</v>
      </c>
      <c r="Y39" s="17"/>
      <c r="AB39" s="16">
        <v>46129</v>
      </c>
      <c r="AC39" s="16">
        <v>46493</v>
      </c>
    </row>
    <row r="40" spans="1:29" hidden="1" x14ac:dyDescent="0.2">
      <c r="A40" t="s">
        <v>40</v>
      </c>
      <c r="B40" t="s">
        <v>54</v>
      </c>
      <c r="C40" t="s">
        <v>44</v>
      </c>
      <c r="D40">
        <v>657</v>
      </c>
      <c r="E40" s="22" t="s">
        <v>102</v>
      </c>
      <c r="F40" s="16">
        <v>46190</v>
      </c>
      <c r="G40">
        <f t="shared" si="11"/>
        <v>12</v>
      </c>
      <c r="H40" s="17">
        <v>1039</v>
      </c>
      <c r="I40" s="17">
        <v>1039</v>
      </c>
      <c r="J40" s="33">
        <f t="shared" si="21"/>
        <v>1.5814307458143075</v>
      </c>
      <c r="K40" s="17">
        <v>0</v>
      </c>
      <c r="L40" s="17">
        <v>0</v>
      </c>
      <c r="M40" s="17">
        <f t="shared" si="12"/>
        <v>0</v>
      </c>
      <c r="N40" s="20">
        <f t="shared" si="13"/>
        <v>0</v>
      </c>
      <c r="O40" s="17">
        <f t="shared" si="14"/>
        <v>1039</v>
      </c>
      <c r="P40" s="31">
        <f t="shared" si="15"/>
        <v>1.5814307458143075</v>
      </c>
      <c r="Q40" s="17">
        <v>990</v>
      </c>
      <c r="R40" s="17">
        <v>476</v>
      </c>
      <c r="S40" s="27">
        <v>13</v>
      </c>
      <c r="T40" s="17">
        <f t="shared" si="16"/>
        <v>953.38461538461536</v>
      </c>
      <c r="U40" s="23">
        <f t="shared" si="17"/>
        <v>1.4511181360496428</v>
      </c>
      <c r="V40" s="17">
        <f t="shared" si="18"/>
        <v>49</v>
      </c>
      <c r="W40" s="18">
        <f t="shared" si="19"/>
        <v>4.9494949494949494E-2</v>
      </c>
      <c r="X40" s="19">
        <f t="shared" si="20"/>
        <v>8.9801516862998254E-2</v>
      </c>
      <c r="Y40" s="17"/>
      <c r="AB40" s="16">
        <v>46190</v>
      </c>
      <c r="AC40" s="16">
        <v>46554</v>
      </c>
    </row>
    <row r="41" spans="1:29" hidden="1" x14ac:dyDescent="0.2">
      <c r="A41" t="s">
        <v>40</v>
      </c>
      <c r="B41" t="s">
        <v>103</v>
      </c>
      <c r="C41" t="s">
        <v>44</v>
      </c>
      <c r="D41">
        <v>657</v>
      </c>
      <c r="E41" s="22" t="s">
        <v>104</v>
      </c>
      <c r="F41" s="16">
        <v>46197</v>
      </c>
      <c r="G41">
        <f t="shared" si="11"/>
        <v>15</v>
      </c>
      <c r="H41" s="17">
        <v>1174</v>
      </c>
      <c r="I41" s="17">
        <v>1139</v>
      </c>
      <c r="J41" s="33">
        <f t="shared" si="21"/>
        <v>1.7336377473363775</v>
      </c>
      <c r="K41" s="17">
        <v>0</v>
      </c>
      <c r="L41" s="17">
        <v>0</v>
      </c>
      <c r="M41" s="17">
        <f t="shared" si="12"/>
        <v>0</v>
      </c>
      <c r="N41" s="20">
        <f t="shared" si="13"/>
        <v>0</v>
      </c>
      <c r="O41" s="17">
        <f t="shared" si="14"/>
        <v>1139</v>
      </c>
      <c r="P41" s="31">
        <f t="shared" si="15"/>
        <v>1.7336377473363775</v>
      </c>
      <c r="Q41" s="17">
        <v>1059</v>
      </c>
      <c r="R41" s="17">
        <v>250</v>
      </c>
      <c r="S41" s="27">
        <v>7</v>
      </c>
      <c r="T41" s="17">
        <f t="shared" si="16"/>
        <v>1023.2857142857143</v>
      </c>
      <c r="U41" s="23">
        <f t="shared" si="17"/>
        <v>1.5575125027179821</v>
      </c>
      <c r="V41" s="17">
        <f t="shared" si="18"/>
        <v>80</v>
      </c>
      <c r="W41" s="18">
        <f t="shared" si="19"/>
        <v>7.5542965061378656E-2</v>
      </c>
      <c r="X41" s="19">
        <f t="shared" si="20"/>
        <v>0.11308111126622918</v>
      </c>
      <c r="Y41" s="17"/>
      <c r="AB41" s="16">
        <v>46197</v>
      </c>
      <c r="AC41" s="16">
        <v>46653</v>
      </c>
    </row>
    <row r="42" spans="1:29" x14ac:dyDescent="0.2">
      <c r="A42" t="s">
        <v>40</v>
      </c>
      <c r="B42" t="s">
        <v>105</v>
      </c>
      <c r="C42" t="s">
        <v>24</v>
      </c>
      <c r="D42">
        <v>700</v>
      </c>
      <c r="E42" s="22" t="s">
        <v>106</v>
      </c>
      <c r="F42" s="16">
        <v>46143</v>
      </c>
      <c r="G42">
        <f t="shared" si="11"/>
        <v>12</v>
      </c>
      <c r="H42" s="17">
        <v>1210</v>
      </c>
      <c r="I42" s="17">
        <v>1210</v>
      </c>
      <c r="J42" s="33">
        <f t="shared" si="21"/>
        <v>1.7285714285714286</v>
      </c>
      <c r="K42" s="17">
        <v>0</v>
      </c>
      <c r="L42" s="17">
        <v>0</v>
      </c>
      <c r="M42" s="17">
        <f t="shared" si="12"/>
        <v>0</v>
      </c>
      <c r="N42" s="20">
        <f t="shared" si="13"/>
        <v>0</v>
      </c>
      <c r="O42" s="17">
        <f t="shared" si="14"/>
        <v>1210</v>
      </c>
      <c r="P42" s="31">
        <f t="shared" si="15"/>
        <v>1.7285714285714286</v>
      </c>
      <c r="Q42" s="17">
        <v>1360</v>
      </c>
      <c r="R42" s="17">
        <v>0</v>
      </c>
      <c r="S42" s="27">
        <v>12</v>
      </c>
      <c r="T42" s="17">
        <f t="shared" si="16"/>
        <v>1360</v>
      </c>
      <c r="U42" s="23">
        <f t="shared" si="17"/>
        <v>1.9428571428571428</v>
      </c>
      <c r="V42" s="17">
        <f t="shared" si="18"/>
        <v>-150</v>
      </c>
      <c r="W42" s="18">
        <f t="shared" si="19"/>
        <v>-0.11029411764705882</v>
      </c>
      <c r="X42" s="19">
        <f t="shared" si="20"/>
        <v>-0.11029411764705882</v>
      </c>
      <c r="Y42" s="17"/>
      <c r="AB42" s="16">
        <v>46143</v>
      </c>
      <c r="AC42" s="16">
        <v>46507</v>
      </c>
    </row>
    <row r="43" spans="1:29" x14ac:dyDescent="0.2">
      <c r="A43" t="s">
        <v>40</v>
      </c>
      <c r="B43" t="s">
        <v>107</v>
      </c>
      <c r="C43" t="s">
        <v>24</v>
      </c>
      <c r="D43">
        <v>700</v>
      </c>
      <c r="E43" s="22" t="s">
        <v>108</v>
      </c>
      <c r="F43" s="16">
        <v>46160</v>
      </c>
      <c r="G43">
        <f t="shared" si="11"/>
        <v>12</v>
      </c>
      <c r="H43" s="17">
        <v>1245</v>
      </c>
      <c r="I43" s="17">
        <v>1010</v>
      </c>
      <c r="J43" s="33">
        <f t="shared" si="21"/>
        <v>1.4428571428571428</v>
      </c>
      <c r="K43" s="17">
        <v>0</v>
      </c>
      <c r="L43" s="17">
        <v>0</v>
      </c>
      <c r="M43" s="17">
        <f t="shared" si="12"/>
        <v>0</v>
      </c>
      <c r="N43" s="20">
        <f t="shared" si="13"/>
        <v>0</v>
      </c>
      <c r="O43" s="17">
        <f t="shared" si="14"/>
        <v>1010</v>
      </c>
      <c r="P43" s="31">
        <f t="shared" si="15"/>
        <v>1.4428571428571428</v>
      </c>
      <c r="Q43" s="17">
        <v>1457</v>
      </c>
      <c r="R43" s="17">
        <v>0</v>
      </c>
      <c r="S43" s="27">
        <v>12</v>
      </c>
      <c r="T43" s="17">
        <f t="shared" si="16"/>
        <v>1457</v>
      </c>
      <c r="U43" s="23">
        <f t="shared" si="17"/>
        <v>2.0814285714285714</v>
      </c>
      <c r="V43" s="17">
        <f t="shared" si="18"/>
        <v>-447</v>
      </c>
      <c r="W43" s="18">
        <f t="shared" si="19"/>
        <v>-0.30679478380233355</v>
      </c>
      <c r="X43" s="19">
        <f t="shared" si="20"/>
        <v>-0.30679478380233355</v>
      </c>
      <c r="Y43" s="17"/>
      <c r="AB43" s="16">
        <v>46160</v>
      </c>
      <c r="AC43" s="16">
        <v>46524</v>
      </c>
    </row>
    <row r="44" spans="1:29" hidden="1" x14ac:dyDescent="0.2">
      <c r="A44" t="s">
        <v>40</v>
      </c>
      <c r="B44" t="s">
        <v>109</v>
      </c>
      <c r="C44" t="s">
        <v>24</v>
      </c>
      <c r="D44">
        <v>700</v>
      </c>
      <c r="E44" s="22" t="s">
        <v>110</v>
      </c>
      <c r="F44" s="16">
        <v>46113</v>
      </c>
      <c r="G44">
        <f t="shared" si="11"/>
        <v>15</v>
      </c>
      <c r="H44" s="17">
        <v>1220</v>
      </c>
      <c r="I44" s="17">
        <v>1060</v>
      </c>
      <c r="J44" s="33">
        <f t="shared" si="21"/>
        <v>1.5142857142857142</v>
      </c>
      <c r="K44" s="17">
        <v>0</v>
      </c>
      <c r="L44" s="17">
        <v>0</v>
      </c>
      <c r="M44" s="17">
        <f t="shared" si="12"/>
        <v>0</v>
      </c>
      <c r="N44" s="20">
        <f t="shared" si="13"/>
        <v>0</v>
      </c>
      <c r="O44" s="17">
        <f t="shared" si="14"/>
        <v>1060</v>
      </c>
      <c r="P44" s="31">
        <f t="shared" si="15"/>
        <v>1.5142857142857142</v>
      </c>
      <c r="Q44" s="17">
        <v>1380</v>
      </c>
      <c r="R44" s="17">
        <v>0</v>
      </c>
      <c r="S44" s="27">
        <v>12</v>
      </c>
      <c r="T44" s="17">
        <f t="shared" si="16"/>
        <v>1380</v>
      </c>
      <c r="U44" s="23">
        <f t="shared" si="17"/>
        <v>1.9714285714285715</v>
      </c>
      <c r="V44" s="17">
        <f t="shared" si="18"/>
        <v>-320</v>
      </c>
      <c r="W44" s="18">
        <f t="shared" si="19"/>
        <v>-0.2318840579710145</v>
      </c>
      <c r="X44" s="19">
        <f t="shared" si="20"/>
        <v>-0.2318840579710145</v>
      </c>
      <c r="Y44" s="17"/>
      <c r="AB44" s="16">
        <v>46113</v>
      </c>
      <c r="AC44" s="16">
        <v>46568</v>
      </c>
    </row>
    <row r="45" spans="1:29" x14ac:dyDescent="0.2">
      <c r="A45" t="s">
        <v>40</v>
      </c>
      <c r="B45" t="s">
        <v>111</v>
      </c>
      <c r="C45" t="s">
        <v>24</v>
      </c>
      <c r="D45">
        <v>700</v>
      </c>
      <c r="E45" s="22" t="s">
        <v>112</v>
      </c>
      <c r="F45" s="16">
        <v>46164</v>
      </c>
      <c r="G45">
        <f t="shared" si="11"/>
        <v>12</v>
      </c>
      <c r="H45" s="17">
        <v>1285</v>
      </c>
      <c r="I45" s="17">
        <v>1285</v>
      </c>
      <c r="J45" s="33">
        <f t="shared" si="21"/>
        <v>1.8357142857142856</v>
      </c>
      <c r="K45" s="17">
        <v>0</v>
      </c>
      <c r="L45" s="17">
        <v>0</v>
      </c>
      <c r="M45" s="17">
        <f t="shared" si="12"/>
        <v>0</v>
      </c>
      <c r="N45" s="20">
        <f t="shared" si="13"/>
        <v>0</v>
      </c>
      <c r="O45" s="17">
        <f t="shared" si="14"/>
        <v>1285</v>
      </c>
      <c r="P45" s="31">
        <f t="shared" si="15"/>
        <v>1.8357142857142856</v>
      </c>
      <c r="Q45" s="17">
        <v>1420</v>
      </c>
      <c r="R45" s="17">
        <v>0</v>
      </c>
      <c r="S45" s="27">
        <v>12</v>
      </c>
      <c r="T45" s="17">
        <f t="shared" si="16"/>
        <v>1420</v>
      </c>
      <c r="U45" s="23">
        <f t="shared" si="17"/>
        <v>2.0285714285714285</v>
      </c>
      <c r="V45" s="17">
        <f t="shared" si="18"/>
        <v>-135</v>
      </c>
      <c r="W45" s="18">
        <f t="shared" si="19"/>
        <v>-9.5070422535211266E-2</v>
      </c>
      <c r="X45" s="19">
        <f t="shared" si="20"/>
        <v>-9.5070422535211266E-2</v>
      </c>
      <c r="Y45" s="17"/>
      <c r="AB45" s="16">
        <v>46164</v>
      </c>
      <c r="AC45" s="16">
        <v>46528</v>
      </c>
    </row>
    <row r="46" spans="1:29" x14ac:dyDescent="0.2">
      <c r="A46" t="s">
        <v>40</v>
      </c>
      <c r="B46" t="s">
        <v>113</v>
      </c>
      <c r="C46" t="s">
        <v>24</v>
      </c>
      <c r="D46">
        <v>700</v>
      </c>
      <c r="E46" s="22" t="s">
        <v>114</v>
      </c>
      <c r="F46" s="16">
        <v>46114</v>
      </c>
      <c r="G46">
        <f t="shared" si="11"/>
        <v>12</v>
      </c>
      <c r="H46" s="17">
        <v>1160</v>
      </c>
      <c r="I46" s="17">
        <v>1000</v>
      </c>
      <c r="J46" s="33">
        <f t="shared" si="21"/>
        <v>1.4285714285714286</v>
      </c>
      <c r="K46" s="17">
        <v>0</v>
      </c>
      <c r="L46" s="17">
        <v>0</v>
      </c>
      <c r="M46" s="17">
        <f t="shared" si="12"/>
        <v>0</v>
      </c>
      <c r="N46" s="20">
        <f t="shared" si="13"/>
        <v>0</v>
      </c>
      <c r="O46" s="17">
        <f t="shared" si="14"/>
        <v>1000</v>
      </c>
      <c r="P46" s="31">
        <f t="shared" si="15"/>
        <v>1.4285714285714286</v>
      </c>
      <c r="Q46" s="17">
        <v>1330</v>
      </c>
      <c r="R46" s="17">
        <v>0</v>
      </c>
      <c r="S46" s="27">
        <v>12</v>
      </c>
      <c r="T46" s="17">
        <f t="shared" si="16"/>
        <v>1330</v>
      </c>
      <c r="U46" s="23">
        <f t="shared" si="17"/>
        <v>1.9</v>
      </c>
      <c r="V46" s="17">
        <f t="shared" si="18"/>
        <v>-330</v>
      </c>
      <c r="W46" s="18">
        <f t="shared" si="19"/>
        <v>-0.24812030075187969</v>
      </c>
      <c r="X46" s="19">
        <f t="shared" si="20"/>
        <v>-0.24812030075187969</v>
      </c>
      <c r="Y46" s="17"/>
      <c r="AB46" s="16">
        <v>46114</v>
      </c>
      <c r="AC46" s="16">
        <v>46478</v>
      </c>
    </row>
    <row r="47" spans="1:29" x14ac:dyDescent="0.2">
      <c r="A47" t="s">
        <v>40</v>
      </c>
      <c r="B47" t="s">
        <v>115</v>
      </c>
      <c r="C47" t="s">
        <v>49</v>
      </c>
      <c r="D47">
        <v>814</v>
      </c>
      <c r="E47" s="22" t="s">
        <v>116</v>
      </c>
      <c r="F47" s="16">
        <v>46126</v>
      </c>
      <c r="G47">
        <f t="shared" si="11"/>
        <v>12</v>
      </c>
      <c r="H47" s="17">
        <v>1285</v>
      </c>
      <c r="I47" s="17">
        <v>1025</v>
      </c>
      <c r="J47" s="33">
        <f t="shared" si="21"/>
        <v>1.2592137592137591</v>
      </c>
      <c r="K47" s="17">
        <v>0</v>
      </c>
      <c r="L47" s="17">
        <v>0</v>
      </c>
      <c r="M47" s="17">
        <f t="shared" si="12"/>
        <v>0</v>
      </c>
      <c r="N47" s="20">
        <f t="shared" si="13"/>
        <v>0</v>
      </c>
      <c r="O47" s="17">
        <f t="shared" si="14"/>
        <v>1025</v>
      </c>
      <c r="P47" s="31">
        <f t="shared" si="15"/>
        <v>1.2592137592137591</v>
      </c>
      <c r="Q47" s="17">
        <v>1145</v>
      </c>
      <c r="R47" s="17">
        <v>0</v>
      </c>
      <c r="S47" s="27">
        <v>12</v>
      </c>
      <c r="T47" s="17">
        <f t="shared" si="16"/>
        <v>1145</v>
      </c>
      <c r="U47" s="23">
        <f t="shared" si="17"/>
        <v>1.4066339066339066</v>
      </c>
      <c r="V47" s="17">
        <f t="shared" si="18"/>
        <v>-120</v>
      </c>
      <c r="W47" s="18">
        <f t="shared" si="19"/>
        <v>-0.10480349344978165</v>
      </c>
      <c r="X47" s="19">
        <f t="shared" si="20"/>
        <v>-0.10480349344978165</v>
      </c>
      <c r="Y47" s="17"/>
      <c r="AB47" s="16">
        <v>46126</v>
      </c>
      <c r="AC47" s="16">
        <v>46490</v>
      </c>
    </row>
    <row r="48" spans="1:29" x14ac:dyDescent="0.2">
      <c r="A48" t="s">
        <v>40</v>
      </c>
      <c r="B48" t="s">
        <v>117</v>
      </c>
      <c r="C48" t="s">
        <v>49</v>
      </c>
      <c r="D48">
        <v>814</v>
      </c>
      <c r="E48" s="22" t="s">
        <v>118</v>
      </c>
      <c r="F48" s="16">
        <v>46113</v>
      </c>
      <c r="G48">
        <f t="shared" si="11"/>
        <v>12</v>
      </c>
      <c r="H48" s="17">
        <v>1380</v>
      </c>
      <c r="I48" s="17">
        <v>1070</v>
      </c>
      <c r="J48" s="33">
        <f t="shared" si="21"/>
        <v>1.3144963144963144</v>
      </c>
      <c r="K48" s="17">
        <v>0</v>
      </c>
      <c r="L48" s="17">
        <v>0</v>
      </c>
      <c r="M48" s="17">
        <f t="shared" si="12"/>
        <v>0</v>
      </c>
      <c r="N48" s="20">
        <f t="shared" si="13"/>
        <v>0</v>
      </c>
      <c r="O48" s="17">
        <f t="shared" si="14"/>
        <v>1070</v>
      </c>
      <c r="P48" s="31">
        <f t="shared" si="15"/>
        <v>1.3144963144963144</v>
      </c>
      <c r="Q48" s="17">
        <v>1660</v>
      </c>
      <c r="R48" s="17">
        <v>0</v>
      </c>
      <c r="S48" s="27">
        <v>12</v>
      </c>
      <c r="T48" s="17">
        <f t="shared" si="16"/>
        <v>1660</v>
      </c>
      <c r="U48" s="23">
        <f t="shared" si="17"/>
        <v>2.0393120393120392</v>
      </c>
      <c r="V48" s="17">
        <f t="shared" si="18"/>
        <v>-590</v>
      </c>
      <c r="W48" s="18">
        <f t="shared" si="19"/>
        <v>-0.35542168674698793</v>
      </c>
      <c r="X48" s="19">
        <f t="shared" si="20"/>
        <v>-0.35542168674698793</v>
      </c>
      <c r="Y48" s="17"/>
      <c r="AB48" s="16">
        <v>46113</v>
      </c>
      <c r="AC48" s="16">
        <v>46477</v>
      </c>
    </row>
    <row r="49" spans="1:29" x14ac:dyDescent="0.2">
      <c r="A49" t="s">
        <v>40</v>
      </c>
      <c r="B49" t="s">
        <v>119</v>
      </c>
      <c r="C49" t="s">
        <v>49</v>
      </c>
      <c r="D49">
        <v>814</v>
      </c>
      <c r="E49" s="22" t="s">
        <v>120</v>
      </c>
      <c r="F49" s="16">
        <v>46142</v>
      </c>
      <c r="G49">
        <f t="shared" si="11"/>
        <v>12</v>
      </c>
      <c r="H49" s="17">
        <v>1320</v>
      </c>
      <c r="I49" s="17">
        <v>1040</v>
      </c>
      <c r="J49" s="33">
        <f t="shared" si="21"/>
        <v>1.2776412776412776</v>
      </c>
      <c r="K49" s="17">
        <v>0</v>
      </c>
      <c r="L49" s="17">
        <v>0</v>
      </c>
      <c r="M49" s="17">
        <f t="shared" si="12"/>
        <v>0</v>
      </c>
      <c r="N49" s="20">
        <f t="shared" si="13"/>
        <v>0</v>
      </c>
      <c r="O49" s="17">
        <f t="shared" si="14"/>
        <v>1040</v>
      </c>
      <c r="P49" s="31">
        <f t="shared" si="15"/>
        <v>1.2776412776412776</v>
      </c>
      <c r="Q49" s="17">
        <v>950</v>
      </c>
      <c r="R49" s="17">
        <v>0</v>
      </c>
      <c r="S49" s="27">
        <v>12</v>
      </c>
      <c r="T49" s="17">
        <f t="shared" si="16"/>
        <v>950</v>
      </c>
      <c r="U49" s="23">
        <f t="shared" si="17"/>
        <v>1.1670761670761671</v>
      </c>
      <c r="V49" s="17">
        <f t="shared" si="18"/>
        <v>90</v>
      </c>
      <c r="W49" s="18">
        <f t="shared" si="19"/>
        <v>9.4736842105263161E-2</v>
      </c>
      <c r="X49" s="19">
        <f t="shared" si="20"/>
        <v>9.4736842105263161E-2</v>
      </c>
      <c r="Y49" s="17"/>
      <c r="AB49" s="16">
        <v>46142</v>
      </c>
      <c r="AC49" s="16">
        <v>46506</v>
      </c>
    </row>
    <row r="50" spans="1:29" hidden="1" x14ac:dyDescent="0.2">
      <c r="A50" t="s">
        <v>40</v>
      </c>
      <c r="B50" t="s">
        <v>121</v>
      </c>
      <c r="C50" t="s">
        <v>49</v>
      </c>
      <c r="D50">
        <v>814</v>
      </c>
      <c r="E50" s="22" t="s">
        <v>122</v>
      </c>
      <c r="F50" s="16">
        <v>46121</v>
      </c>
      <c r="G50">
        <f t="shared" si="11"/>
        <v>15</v>
      </c>
      <c r="H50" s="17">
        <v>1290</v>
      </c>
      <c r="I50" s="17">
        <v>1010</v>
      </c>
      <c r="J50" s="33">
        <f t="shared" si="21"/>
        <v>1.2407862407862409</v>
      </c>
      <c r="K50" s="17">
        <v>0</v>
      </c>
      <c r="L50" s="17">
        <v>0</v>
      </c>
      <c r="M50" s="17">
        <f t="shared" si="12"/>
        <v>0</v>
      </c>
      <c r="N50" s="20">
        <f t="shared" si="13"/>
        <v>0</v>
      </c>
      <c r="O50" s="17">
        <f t="shared" si="14"/>
        <v>1010</v>
      </c>
      <c r="P50" s="31">
        <f t="shared" si="15"/>
        <v>1.2407862407862409</v>
      </c>
      <c r="Q50" s="17">
        <v>1040</v>
      </c>
      <c r="R50" s="17">
        <v>0</v>
      </c>
      <c r="S50" s="27">
        <v>12</v>
      </c>
      <c r="T50" s="17">
        <f t="shared" si="16"/>
        <v>1040</v>
      </c>
      <c r="U50" s="23">
        <f t="shared" si="17"/>
        <v>1.2776412776412776</v>
      </c>
      <c r="V50" s="17">
        <f t="shared" si="18"/>
        <v>-30</v>
      </c>
      <c r="W50" s="18">
        <f t="shared" si="19"/>
        <v>-2.8846153846153848E-2</v>
      </c>
      <c r="X50" s="19">
        <f t="shared" si="20"/>
        <v>-2.8846153846153848E-2</v>
      </c>
      <c r="Y50" s="17"/>
      <c r="AB50" s="16">
        <v>46121</v>
      </c>
      <c r="AC50" s="16">
        <v>46576</v>
      </c>
    </row>
    <row r="51" spans="1:29" hidden="1" x14ac:dyDescent="0.2">
      <c r="A51" t="s">
        <v>40</v>
      </c>
      <c r="B51" t="s">
        <v>123</v>
      </c>
      <c r="C51" t="s">
        <v>49</v>
      </c>
      <c r="D51">
        <v>814</v>
      </c>
      <c r="E51" s="22" t="s">
        <v>124</v>
      </c>
      <c r="F51" s="16">
        <v>46134</v>
      </c>
      <c r="G51">
        <f t="shared" si="11"/>
        <v>12</v>
      </c>
      <c r="H51" s="17">
        <v>1335</v>
      </c>
      <c r="I51" s="17">
        <v>1275</v>
      </c>
      <c r="J51" s="33">
        <f t="shared" si="21"/>
        <v>1.5663390663390664</v>
      </c>
      <c r="K51" s="17">
        <v>0</v>
      </c>
      <c r="L51" s="17">
        <v>0</v>
      </c>
      <c r="M51" s="17">
        <f t="shared" si="12"/>
        <v>0</v>
      </c>
      <c r="N51" s="20">
        <f t="shared" si="13"/>
        <v>0</v>
      </c>
      <c r="O51" s="17">
        <f t="shared" si="14"/>
        <v>1275</v>
      </c>
      <c r="P51" s="31">
        <f t="shared" si="15"/>
        <v>1.5663390663390664</v>
      </c>
      <c r="Q51" s="17">
        <v>1290</v>
      </c>
      <c r="R51" s="17">
        <v>2040</v>
      </c>
      <c r="S51" s="27">
        <v>13</v>
      </c>
      <c r="T51" s="17">
        <f t="shared" si="16"/>
        <v>1133.0769230769231</v>
      </c>
      <c r="U51" s="23">
        <f t="shared" si="17"/>
        <v>1.391986391986392</v>
      </c>
      <c r="V51" s="17">
        <f t="shared" si="18"/>
        <v>-15</v>
      </c>
      <c r="W51" s="18">
        <f t="shared" si="19"/>
        <v>-1.1627906976744186E-2</v>
      </c>
      <c r="X51" s="19">
        <f t="shared" si="20"/>
        <v>0.12525458248472504</v>
      </c>
      <c r="Y51" s="17"/>
      <c r="AB51" s="16">
        <v>46134</v>
      </c>
      <c r="AC51" s="16">
        <v>46498</v>
      </c>
    </row>
    <row r="52" spans="1:29" x14ac:dyDescent="0.2">
      <c r="A52" t="s">
        <v>40</v>
      </c>
      <c r="B52" t="s">
        <v>125</v>
      </c>
      <c r="C52" t="s">
        <v>39</v>
      </c>
      <c r="D52">
        <v>875</v>
      </c>
      <c r="E52" s="22" t="s">
        <v>126</v>
      </c>
      <c r="F52" s="16">
        <v>46179</v>
      </c>
      <c r="G52">
        <f t="shared" si="11"/>
        <v>12</v>
      </c>
      <c r="H52" s="17">
        <v>1364</v>
      </c>
      <c r="I52" s="17">
        <v>1075</v>
      </c>
      <c r="J52" s="33">
        <f t="shared" si="21"/>
        <v>1.2285714285714286</v>
      </c>
      <c r="K52" s="17">
        <v>0</v>
      </c>
      <c r="L52" s="17">
        <v>0</v>
      </c>
      <c r="M52" s="17">
        <f t="shared" si="12"/>
        <v>0</v>
      </c>
      <c r="N52" s="20">
        <f t="shared" si="13"/>
        <v>0</v>
      </c>
      <c r="O52" s="17">
        <f t="shared" si="14"/>
        <v>1075</v>
      </c>
      <c r="P52" s="31">
        <f t="shared" si="15"/>
        <v>1.2285714285714286</v>
      </c>
      <c r="Q52" s="17">
        <v>1627</v>
      </c>
      <c r="R52" s="17">
        <v>0</v>
      </c>
      <c r="S52" s="27">
        <v>12</v>
      </c>
      <c r="T52" s="17">
        <f t="shared" si="16"/>
        <v>1627</v>
      </c>
      <c r="U52" s="23">
        <f t="shared" si="17"/>
        <v>1.8594285714285714</v>
      </c>
      <c r="V52" s="17">
        <f t="shared" si="18"/>
        <v>-552</v>
      </c>
      <c r="W52" s="18">
        <f t="shared" si="19"/>
        <v>-0.33927473878303627</v>
      </c>
      <c r="X52" s="19">
        <f t="shared" si="20"/>
        <v>-0.33927473878303627</v>
      </c>
      <c r="Y52" s="17"/>
      <c r="AB52" s="16">
        <v>46179</v>
      </c>
      <c r="AC52" s="16">
        <v>46543</v>
      </c>
    </row>
    <row r="53" spans="1:29" hidden="1" x14ac:dyDescent="0.2">
      <c r="A53" t="s">
        <v>40</v>
      </c>
      <c r="B53" t="s">
        <v>127</v>
      </c>
      <c r="C53" t="s">
        <v>80</v>
      </c>
      <c r="D53">
        <v>930</v>
      </c>
      <c r="E53" s="22" t="s">
        <v>128</v>
      </c>
      <c r="F53" s="16">
        <v>46185</v>
      </c>
      <c r="G53">
        <f t="shared" si="11"/>
        <v>7</v>
      </c>
      <c r="H53" s="17">
        <v>1288</v>
      </c>
      <c r="I53" s="17">
        <v>1288</v>
      </c>
      <c r="J53" s="33">
        <f t="shared" si="21"/>
        <v>1.3849462365591398</v>
      </c>
      <c r="K53" s="17">
        <v>0</v>
      </c>
      <c r="L53" s="17">
        <v>0</v>
      </c>
      <c r="M53" s="17">
        <f t="shared" si="12"/>
        <v>0</v>
      </c>
      <c r="N53" s="20">
        <f t="shared" si="13"/>
        <v>0</v>
      </c>
      <c r="O53" s="17">
        <f t="shared" si="14"/>
        <v>1288</v>
      </c>
      <c r="P53" s="31">
        <f t="shared" si="15"/>
        <v>1.3849462365591398</v>
      </c>
      <c r="Q53" s="17">
        <v>1465</v>
      </c>
      <c r="R53" s="17">
        <v>1465</v>
      </c>
      <c r="S53" s="27">
        <v>12</v>
      </c>
      <c r="T53" s="17">
        <f t="shared" si="16"/>
        <v>1342.9166666666667</v>
      </c>
      <c r="U53" s="23">
        <f t="shared" si="17"/>
        <v>1.4439964157706093</v>
      </c>
      <c r="V53" s="17">
        <f t="shared" si="18"/>
        <v>-177</v>
      </c>
      <c r="W53" s="18">
        <f t="shared" si="19"/>
        <v>-0.12081911262798635</v>
      </c>
      <c r="X53" s="19">
        <f t="shared" si="20"/>
        <v>-4.0893577412348794E-2</v>
      </c>
      <c r="Y53" s="17"/>
      <c r="AB53" s="16">
        <v>46185</v>
      </c>
      <c r="AC53" s="16">
        <v>46398</v>
      </c>
    </row>
    <row r="54" spans="1:29" hidden="1" x14ac:dyDescent="0.2">
      <c r="A54" t="s">
        <v>40</v>
      </c>
      <c r="B54" t="s">
        <v>129</v>
      </c>
      <c r="C54" t="s">
        <v>80</v>
      </c>
      <c r="D54">
        <v>930</v>
      </c>
      <c r="E54" s="22" t="s">
        <v>130</v>
      </c>
      <c r="F54" s="16">
        <v>46113</v>
      </c>
      <c r="G54">
        <f t="shared" si="11"/>
        <v>15</v>
      </c>
      <c r="H54" s="17">
        <v>1285</v>
      </c>
      <c r="I54" s="17">
        <v>1025</v>
      </c>
      <c r="J54" s="33">
        <f t="shared" si="21"/>
        <v>1.1021505376344085</v>
      </c>
      <c r="K54" s="17">
        <v>0</v>
      </c>
      <c r="L54" s="17">
        <v>0</v>
      </c>
      <c r="M54" s="17">
        <f t="shared" si="12"/>
        <v>0</v>
      </c>
      <c r="N54" s="20">
        <f t="shared" si="13"/>
        <v>0</v>
      </c>
      <c r="O54" s="17">
        <f t="shared" si="14"/>
        <v>1025</v>
      </c>
      <c r="P54" s="31">
        <f t="shared" si="15"/>
        <v>1.1021505376344085</v>
      </c>
      <c r="Q54" s="17">
        <v>1490</v>
      </c>
      <c r="R54" s="17">
        <v>0</v>
      </c>
      <c r="S54" s="27">
        <v>12</v>
      </c>
      <c r="T54" s="17">
        <f t="shared" si="16"/>
        <v>1490</v>
      </c>
      <c r="U54" s="23">
        <f t="shared" si="17"/>
        <v>1.6021505376344085</v>
      </c>
      <c r="V54" s="17">
        <f t="shared" si="18"/>
        <v>-465</v>
      </c>
      <c r="W54" s="18">
        <f t="shared" si="19"/>
        <v>-0.31208053691275167</v>
      </c>
      <c r="X54" s="19">
        <f t="shared" si="20"/>
        <v>-0.31208053691275167</v>
      </c>
      <c r="Y54" s="17"/>
      <c r="AB54" s="16">
        <v>46113</v>
      </c>
      <c r="AC54" s="16">
        <v>46568</v>
      </c>
    </row>
    <row r="55" spans="1:29" hidden="1" x14ac:dyDescent="0.2">
      <c r="A55" t="s">
        <v>40</v>
      </c>
      <c r="B55" t="s">
        <v>131</v>
      </c>
      <c r="C55" t="s">
        <v>80</v>
      </c>
      <c r="D55">
        <v>930</v>
      </c>
      <c r="E55" s="22" t="s">
        <v>132</v>
      </c>
      <c r="F55" s="16">
        <v>46183</v>
      </c>
      <c r="G55">
        <f t="shared" si="11"/>
        <v>15</v>
      </c>
      <c r="H55" s="17">
        <v>1218</v>
      </c>
      <c r="I55" s="17">
        <v>990</v>
      </c>
      <c r="J55" s="33">
        <f t="shared" si="21"/>
        <v>1.064516129032258</v>
      </c>
      <c r="K55" s="17">
        <v>0</v>
      </c>
      <c r="L55" s="17">
        <v>0</v>
      </c>
      <c r="M55" s="17">
        <f t="shared" si="12"/>
        <v>0</v>
      </c>
      <c r="N55" s="20">
        <f t="shared" si="13"/>
        <v>0</v>
      </c>
      <c r="O55" s="17">
        <f t="shared" si="14"/>
        <v>990</v>
      </c>
      <c r="P55" s="31">
        <f t="shared" si="15"/>
        <v>1.064516129032258</v>
      </c>
      <c r="Q55" s="17">
        <v>1502</v>
      </c>
      <c r="R55" s="17">
        <v>0</v>
      </c>
      <c r="S55" s="27">
        <v>12</v>
      </c>
      <c r="T55" s="17">
        <f t="shared" si="16"/>
        <v>1502</v>
      </c>
      <c r="U55" s="23">
        <f t="shared" si="17"/>
        <v>1.6150537634408602</v>
      </c>
      <c r="V55" s="17">
        <f t="shared" si="18"/>
        <v>-512</v>
      </c>
      <c r="W55" s="18">
        <f t="shared" si="19"/>
        <v>-0.34087882822902799</v>
      </c>
      <c r="X55" s="19">
        <f t="shared" si="20"/>
        <v>-0.34087882822902799</v>
      </c>
      <c r="Y55" s="17"/>
      <c r="AB55" s="16">
        <v>46183</v>
      </c>
      <c r="AC55" s="16">
        <v>46639</v>
      </c>
    </row>
    <row r="56" spans="1:29" hidden="1" x14ac:dyDescent="0.2">
      <c r="A56" t="s">
        <v>40</v>
      </c>
      <c r="B56" t="s">
        <v>133</v>
      </c>
      <c r="C56" t="s">
        <v>80</v>
      </c>
      <c r="D56">
        <v>930</v>
      </c>
      <c r="E56" s="22" t="s">
        <v>134</v>
      </c>
      <c r="F56" s="16">
        <v>46179</v>
      </c>
      <c r="G56">
        <f t="shared" si="11"/>
        <v>13</v>
      </c>
      <c r="H56" s="17">
        <v>1303</v>
      </c>
      <c r="I56" s="17">
        <v>1303</v>
      </c>
      <c r="J56" s="33">
        <f t="shared" si="21"/>
        <v>1.4010752688172043</v>
      </c>
      <c r="K56" s="17">
        <v>1600</v>
      </c>
      <c r="L56" s="17">
        <v>0</v>
      </c>
      <c r="M56" s="17">
        <f t="shared" si="12"/>
        <v>1600</v>
      </c>
      <c r="N56" s="20">
        <f t="shared" si="13"/>
        <v>1.2279355333844972</v>
      </c>
      <c r="O56" s="17">
        <f t="shared" si="14"/>
        <v>1179.9230769230769</v>
      </c>
      <c r="P56" s="31">
        <f t="shared" si="15"/>
        <v>1.2687344913151364</v>
      </c>
      <c r="Q56" s="17">
        <v>1633</v>
      </c>
      <c r="R56" s="17">
        <v>0</v>
      </c>
      <c r="S56" s="27">
        <v>12</v>
      </c>
      <c r="T56" s="17">
        <f t="shared" si="16"/>
        <v>1633</v>
      </c>
      <c r="U56" s="23">
        <f t="shared" si="17"/>
        <v>1.7559139784946236</v>
      </c>
      <c r="V56" s="17">
        <f t="shared" si="18"/>
        <v>-330</v>
      </c>
      <c r="W56" s="18">
        <f t="shared" si="19"/>
        <v>-0.20208205756276792</v>
      </c>
      <c r="X56" s="19">
        <f t="shared" si="20"/>
        <v>-0.27745065711997741</v>
      </c>
      <c r="Y56" s="17"/>
      <c r="AB56" s="16">
        <v>46179</v>
      </c>
      <c r="AC56" s="16">
        <v>46573</v>
      </c>
    </row>
    <row r="57" spans="1:29" x14ac:dyDescent="0.2">
      <c r="A57" t="s">
        <v>40</v>
      </c>
      <c r="B57" t="s">
        <v>135</v>
      </c>
      <c r="C57" t="s">
        <v>80</v>
      </c>
      <c r="D57">
        <v>930</v>
      </c>
      <c r="E57" s="22" t="s">
        <v>136</v>
      </c>
      <c r="F57" s="16">
        <v>46114</v>
      </c>
      <c r="G57">
        <f t="shared" si="11"/>
        <v>12</v>
      </c>
      <c r="H57" s="17">
        <v>1355</v>
      </c>
      <c r="I57" s="17">
        <v>1095</v>
      </c>
      <c r="J57" s="33">
        <f t="shared" si="21"/>
        <v>1.1774193548387097</v>
      </c>
      <c r="K57" s="17">
        <v>0</v>
      </c>
      <c r="L57" s="17">
        <v>0</v>
      </c>
      <c r="M57" s="17">
        <f t="shared" si="12"/>
        <v>0</v>
      </c>
      <c r="N57" s="20">
        <f t="shared" si="13"/>
        <v>0</v>
      </c>
      <c r="O57" s="17">
        <f t="shared" si="14"/>
        <v>1095</v>
      </c>
      <c r="P57" s="31">
        <f t="shared" si="15"/>
        <v>1.1774193548387097</v>
      </c>
      <c r="Q57" s="17">
        <v>1664</v>
      </c>
      <c r="R57" s="17">
        <v>0</v>
      </c>
      <c r="S57" s="27">
        <v>12</v>
      </c>
      <c r="T57" s="17">
        <f t="shared" si="16"/>
        <v>1664</v>
      </c>
      <c r="U57" s="23">
        <f t="shared" si="17"/>
        <v>1.789247311827957</v>
      </c>
      <c r="V57" s="17">
        <f t="shared" si="18"/>
        <v>-569</v>
      </c>
      <c r="W57" s="18">
        <f t="shared" si="19"/>
        <v>-0.34194711538461536</v>
      </c>
      <c r="X57" s="19">
        <f t="shared" si="20"/>
        <v>-0.34194711538461536</v>
      </c>
      <c r="Y57" s="17"/>
      <c r="AB57" s="16">
        <v>46114</v>
      </c>
      <c r="AC57" s="16">
        <v>46478</v>
      </c>
    </row>
    <row r="58" spans="1:29" x14ac:dyDescent="0.2">
      <c r="A58" t="s">
        <v>40</v>
      </c>
      <c r="B58" t="s">
        <v>137</v>
      </c>
      <c r="C58" t="s">
        <v>138</v>
      </c>
      <c r="D58">
        <v>980</v>
      </c>
      <c r="E58" s="22" t="s">
        <v>139</v>
      </c>
      <c r="F58" s="16">
        <v>46116</v>
      </c>
      <c r="G58">
        <f t="shared" si="11"/>
        <v>12</v>
      </c>
      <c r="H58" s="17">
        <v>1470</v>
      </c>
      <c r="I58" s="17">
        <v>1210</v>
      </c>
      <c r="J58" s="33">
        <f t="shared" si="21"/>
        <v>1.2346938775510203</v>
      </c>
      <c r="K58" s="17">
        <v>0</v>
      </c>
      <c r="L58" s="17">
        <v>0</v>
      </c>
      <c r="M58" s="17">
        <f t="shared" si="12"/>
        <v>0</v>
      </c>
      <c r="N58" s="20">
        <f t="shared" si="13"/>
        <v>0</v>
      </c>
      <c r="O58" s="17">
        <f t="shared" si="14"/>
        <v>1210</v>
      </c>
      <c r="P58" s="31">
        <f t="shared" si="15"/>
        <v>1.2346938775510203</v>
      </c>
      <c r="Q58" s="17">
        <v>1075</v>
      </c>
      <c r="R58" s="17">
        <v>0</v>
      </c>
      <c r="S58" s="27">
        <v>12</v>
      </c>
      <c r="T58" s="17">
        <f t="shared" si="16"/>
        <v>1075</v>
      </c>
      <c r="U58" s="23">
        <f t="shared" si="17"/>
        <v>1.096938775510204</v>
      </c>
      <c r="V58" s="17">
        <f t="shared" si="18"/>
        <v>135</v>
      </c>
      <c r="W58" s="18">
        <f t="shared" si="19"/>
        <v>0.12558139534883722</v>
      </c>
      <c r="X58" s="19">
        <f t="shared" si="20"/>
        <v>0.12558139534883722</v>
      </c>
      <c r="Y58" s="17"/>
      <c r="AB58" s="16">
        <v>46116</v>
      </c>
      <c r="AC58" s="16">
        <v>46480</v>
      </c>
    </row>
    <row r="59" spans="1:29" x14ac:dyDescent="0.2">
      <c r="A59" t="s">
        <v>40</v>
      </c>
      <c r="B59" t="s">
        <v>140</v>
      </c>
      <c r="C59" t="s">
        <v>138</v>
      </c>
      <c r="D59">
        <v>980</v>
      </c>
      <c r="E59" s="22" t="s">
        <v>141</v>
      </c>
      <c r="F59" s="16">
        <v>46158</v>
      </c>
      <c r="G59">
        <f t="shared" si="11"/>
        <v>12</v>
      </c>
      <c r="H59" s="17">
        <v>1290</v>
      </c>
      <c r="I59" s="17">
        <v>1140</v>
      </c>
      <c r="J59" s="33">
        <f t="shared" si="21"/>
        <v>1.1632653061224489</v>
      </c>
      <c r="K59" s="17">
        <v>0</v>
      </c>
      <c r="L59" s="17">
        <v>0</v>
      </c>
      <c r="M59" s="17">
        <f t="shared" si="12"/>
        <v>0</v>
      </c>
      <c r="N59" s="20">
        <f t="shared" si="13"/>
        <v>0</v>
      </c>
      <c r="O59" s="17">
        <f t="shared" si="14"/>
        <v>1140</v>
      </c>
      <c r="P59" s="31">
        <f t="shared" si="15"/>
        <v>1.1632653061224489</v>
      </c>
      <c r="Q59" s="17">
        <v>1600</v>
      </c>
      <c r="R59" s="17">
        <v>0</v>
      </c>
      <c r="S59" s="27">
        <v>12</v>
      </c>
      <c r="T59" s="17">
        <f t="shared" si="16"/>
        <v>1600</v>
      </c>
      <c r="U59" s="23">
        <f t="shared" si="17"/>
        <v>1.6326530612244898</v>
      </c>
      <c r="V59" s="17">
        <f t="shared" si="18"/>
        <v>-460</v>
      </c>
      <c r="W59" s="18">
        <f t="shared" si="19"/>
        <v>-0.28749999999999998</v>
      </c>
      <c r="X59" s="19">
        <f t="shared" si="20"/>
        <v>-0.28749999999999998</v>
      </c>
      <c r="Y59" s="17"/>
      <c r="AB59" s="16">
        <v>46158</v>
      </c>
      <c r="AC59" s="16">
        <v>46522</v>
      </c>
    </row>
    <row r="60" spans="1:29" x14ac:dyDescent="0.2">
      <c r="A60" t="s">
        <v>40</v>
      </c>
      <c r="B60" t="s">
        <v>142</v>
      </c>
      <c r="C60" t="s">
        <v>67</v>
      </c>
      <c r="D60">
        <v>1028</v>
      </c>
      <c r="E60" s="22" t="s">
        <v>143</v>
      </c>
      <c r="F60" s="16">
        <v>46144</v>
      </c>
      <c r="G60">
        <f t="shared" si="11"/>
        <v>12</v>
      </c>
      <c r="H60" s="17">
        <v>1582</v>
      </c>
      <c r="I60" s="17">
        <v>1662</v>
      </c>
      <c r="J60" s="33">
        <f t="shared" si="21"/>
        <v>1.6167315175097277</v>
      </c>
      <c r="K60" s="17">
        <v>0</v>
      </c>
      <c r="L60" s="17">
        <v>0</v>
      </c>
      <c r="M60" s="17">
        <f t="shared" si="12"/>
        <v>0</v>
      </c>
      <c r="N60" s="20">
        <f t="shared" si="13"/>
        <v>0</v>
      </c>
      <c r="O60" s="17">
        <f t="shared" si="14"/>
        <v>1662</v>
      </c>
      <c r="P60" s="31">
        <f t="shared" si="15"/>
        <v>1.6167315175097277</v>
      </c>
      <c r="Q60" s="17">
        <v>1535</v>
      </c>
      <c r="R60" s="17">
        <v>0</v>
      </c>
      <c r="S60" s="27">
        <v>12</v>
      </c>
      <c r="T60" s="17">
        <f t="shared" si="16"/>
        <v>1535</v>
      </c>
      <c r="U60" s="23">
        <f t="shared" si="17"/>
        <v>1.4931906614785992</v>
      </c>
      <c r="V60" s="17">
        <f t="shared" si="18"/>
        <v>127</v>
      </c>
      <c r="W60" s="18">
        <f t="shared" si="19"/>
        <v>8.2736156351791532E-2</v>
      </c>
      <c r="X60" s="19">
        <f t="shared" si="20"/>
        <v>8.2736156351791532E-2</v>
      </c>
      <c r="Y60" s="17"/>
      <c r="AB60" s="16">
        <v>46144</v>
      </c>
      <c r="AC60" s="16">
        <v>46508</v>
      </c>
    </row>
    <row r="61" spans="1:29" x14ac:dyDescent="0.2">
      <c r="A61" t="s">
        <v>40</v>
      </c>
      <c r="B61" t="s">
        <v>144</v>
      </c>
      <c r="C61" t="s">
        <v>72</v>
      </c>
      <c r="D61">
        <v>1130</v>
      </c>
      <c r="E61" s="22" t="s">
        <v>145</v>
      </c>
      <c r="F61" s="16">
        <v>46174</v>
      </c>
      <c r="G61">
        <f t="shared" ref="G61:G68" si="22">ROUND((AC61-AB61)/30,0)</f>
        <v>12</v>
      </c>
      <c r="H61" s="17">
        <v>1555</v>
      </c>
      <c r="I61" s="17">
        <v>1555</v>
      </c>
      <c r="J61" s="33">
        <f t="shared" si="21"/>
        <v>1.3761061946902655</v>
      </c>
      <c r="K61" s="17">
        <v>0</v>
      </c>
      <c r="L61" s="17">
        <v>0</v>
      </c>
      <c r="M61" s="17">
        <f t="shared" ref="M61:M68" si="23">K61+L61</f>
        <v>0</v>
      </c>
      <c r="N61" s="20">
        <f t="shared" ref="N61:N68" si="24">IFERROR(M61/I61,0)</f>
        <v>0</v>
      </c>
      <c r="O61" s="17">
        <f t="shared" ref="O61:O68" si="25">IFERROR(((I61*G61)-M61)/G61,0)</f>
        <v>1555</v>
      </c>
      <c r="P61" s="31">
        <f t="shared" ref="P61:P68" si="26">IFERROR(O61/D61,0)</f>
        <v>1.3761061946902655</v>
      </c>
      <c r="Q61" s="17">
        <v>1800</v>
      </c>
      <c r="R61" s="17">
        <v>0</v>
      </c>
      <c r="S61" s="27">
        <v>12</v>
      </c>
      <c r="T61" s="17">
        <f t="shared" ref="T61:T68" si="27">IFERROR(((Q61*S61)-R61)/S61,0)</f>
        <v>1800</v>
      </c>
      <c r="U61" s="23">
        <f t="shared" ref="U61:U68" si="28">IFERROR(T61/D61,0)</f>
        <v>1.5929203539823009</v>
      </c>
      <c r="V61" s="17">
        <f t="shared" ref="V61:V68" si="29">I61-Q61</f>
        <v>-245</v>
      </c>
      <c r="W61" s="18">
        <f t="shared" ref="W61:W68" si="30">IFERROR((I61-Q61)/Q61,0)</f>
        <v>-0.1361111111111111</v>
      </c>
      <c r="X61" s="19">
        <f t="shared" ref="X61:X68" si="31">IFERROR((O61-T61)/T61,0)</f>
        <v>-0.1361111111111111</v>
      </c>
      <c r="Y61" s="17"/>
      <c r="AB61" s="16">
        <v>46174</v>
      </c>
      <c r="AC61" s="16">
        <v>46538</v>
      </c>
    </row>
    <row r="62" spans="1:29" hidden="1" x14ac:dyDescent="0.2">
      <c r="A62" t="s">
        <v>40</v>
      </c>
      <c r="B62" t="s">
        <v>146</v>
      </c>
      <c r="C62" t="s">
        <v>72</v>
      </c>
      <c r="D62">
        <v>1130</v>
      </c>
      <c r="E62" s="22" t="s">
        <v>147</v>
      </c>
      <c r="F62" s="16">
        <v>46122</v>
      </c>
      <c r="G62">
        <f t="shared" si="22"/>
        <v>15</v>
      </c>
      <c r="H62" s="17">
        <v>1430</v>
      </c>
      <c r="I62" s="17">
        <v>1280</v>
      </c>
      <c r="J62" s="33">
        <f t="shared" si="21"/>
        <v>1.1327433628318584</v>
      </c>
      <c r="K62" s="17">
        <v>0</v>
      </c>
      <c r="L62" s="17">
        <v>0</v>
      </c>
      <c r="M62" s="17">
        <f t="shared" si="23"/>
        <v>0</v>
      </c>
      <c r="N62" s="20">
        <f t="shared" si="24"/>
        <v>0</v>
      </c>
      <c r="O62" s="17">
        <f t="shared" si="25"/>
        <v>1280</v>
      </c>
      <c r="P62" s="31">
        <f t="shared" si="26"/>
        <v>1.1327433628318584</v>
      </c>
      <c r="Q62" s="17">
        <v>1670</v>
      </c>
      <c r="R62" s="17">
        <v>0</v>
      </c>
      <c r="S62" s="27">
        <v>12</v>
      </c>
      <c r="T62" s="17">
        <f t="shared" si="27"/>
        <v>1670</v>
      </c>
      <c r="U62" s="23">
        <f t="shared" si="28"/>
        <v>1.4778761061946903</v>
      </c>
      <c r="V62" s="17">
        <f t="shared" si="29"/>
        <v>-390</v>
      </c>
      <c r="W62" s="18">
        <f t="shared" si="30"/>
        <v>-0.23353293413173654</v>
      </c>
      <c r="X62" s="19">
        <f t="shared" si="31"/>
        <v>-0.23353293413173654</v>
      </c>
      <c r="Y62" s="17"/>
      <c r="AB62" s="16">
        <v>46122</v>
      </c>
      <c r="AC62" s="16">
        <v>46577</v>
      </c>
    </row>
    <row r="63" spans="1:29" x14ac:dyDescent="0.2">
      <c r="A63" t="s">
        <v>40</v>
      </c>
      <c r="B63" t="s">
        <v>148</v>
      </c>
      <c r="C63" t="s">
        <v>72</v>
      </c>
      <c r="D63">
        <v>1130</v>
      </c>
      <c r="E63" s="22" t="s">
        <v>149</v>
      </c>
      <c r="F63" s="16">
        <v>46203</v>
      </c>
      <c r="G63">
        <f t="shared" si="22"/>
        <v>12</v>
      </c>
      <c r="H63" s="17">
        <v>1580</v>
      </c>
      <c r="I63" s="17">
        <v>1580</v>
      </c>
      <c r="J63" s="33">
        <f t="shared" si="21"/>
        <v>1.3982300884955752</v>
      </c>
      <c r="K63" s="17">
        <v>0</v>
      </c>
      <c r="L63" s="17">
        <v>0</v>
      </c>
      <c r="M63" s="17">
        <f t="shared" si="23"/>
        <v>0</v>
      </c>
      <c r="N63" s="20">
        <f t="shared" si="24"/>
        <v>0</v>
      </c>
      <c r="O63" s="17">
        <f t="shared" si="25"/>
        <v>1580</v>
      </c>
      <c r="P63" s="31">
        <f t="shared" si="26"/>
        <v>1.3982300884955752</v>
      </c>
      <c r="Q63" s="17">
        <v>1825</v>
      </c>
      <c r="R63" s="17">
        <v>0</v>
      </c>
      <c r="S63" s="27">
        <v>12</v>
      </c>
      <c r="T63" s="17">
        <f t="shared" si="27"/>
        <v>1825</v>
      </c>
      <c r="U63" s="23">
        <f t="shared" si="28"/>
        <v>1.6150442477876106</v>
      </c>
      <c r="V63" s="17">
        <f t="shared" si="29"/>
        <v>-245</v>
      </c>
      <c r="W63" s="18">
        <f t="shared" si="30"/>
        <v>-0.13424657534246576</v>
      </c>
      <c r="X63" s="19">
        <f t="shared" si="31"/>
        <v>-0.13424657534246576</v>
      </c>
      <c r="Y63" s="17"/>
      <c r="AB63" s="16">
        <v>46203</v>
      </c>
      <c r="AC63" s="16">
        <v>46567</v>
      </c>
    </row>
    <row r="64" spans="1:29" hidden="1" x14ac:dyDescent="0.2">
      <c r="A64" t="s">
        <v>40</v>
      </c>
      <c r="B64" t="s">
        <v>150</v>
      </c>
      <c r="C64" t="s">
        <v>72</v>
      </c>
      <c r="D64">
        <v>1130</v>
      </c>
      <c r="E64" s="22" t="s">
        <v>151</v>
      </c>
      <c r="F64" s="16">
        <v>46122</v>
      </c>
      <c r="G64">
        <f t="shared" si="22"/>
        <v>15</v>
      </c>
      <c r="H64" s="17">
        <v>1465</v>
      </c>
      <c r="I64" s="17">
        <v>1365</v>
      </c>
      <c r="J64" s="33">
        <f t="shared" si="21"/>
        <v>1.2079646017699115</v>
      </c>
      <c r="K64" s="17">
        <v>0</v>
      </c>
      <c r="L64" s="17">
        <v>0</v>
      </c>
      <c r="M64" s="17">
        <f t="shared" si="23"/>
        <v>0</v>
      </c>
      <c r="N64" s="20">
        <f t="shared" si="24"/>
        <v>0</v>
      </c>
      <c r="O64" s="17">
        <f t="shared" si="25"/>
        <v>1365</v>
      </c>
      <c r="P64" s="31">
        <f t="shared" si="26"/>
        <v>1.2079646017699115</v>
      </c>
      <c r="Q64" s="17">
        <v>1844</v>
      </c>
      <c r="R64" s="17">
        <v>0</v>
      </c>
      <c r="S64" s="27">
        <v>12</v>
      </c>
      <c r="T64" s="17">
        <f t="shared" si="27"/>
        <v>1844</v>
      </c>
      <c r="U64" s="23">
        <f t="shared" si="28"/>
        <v>1.631858407079646</v>
      </c>
      <c r="V64" s="17">
        <f t="shared" si="29"/>
        <v>-479</v>
      </c>
      <c r="W64" s="18">
        <f t="shared" si="30"/>
        <v>-0.25976138828633405</v>
      </c>
      <c r="X64" s="19">
        <f t="shared" si="31"/>
        <v>-0.25976138828633405</v>
      </c>
      <c r="Y64" s="17"/>
      <c r="AB64" s="16">
        <v>46122</v>
      </c>
      <c r="AC64" s="16">
        <v>46577</v>
      </c>
    </row>
    <row r="65" spans="1:29" x14ac:dyDescent="0.2">
      <c r="A65" t="s">
        <v>40</v>
      </c>
      <c r="B65" t="s">
        <v>152</v>
      </c>
      <c r="C65" t="s">
        <v>72</v>
      </c>
      <c r="D65">
        <v>1130</v>
      </c>
      <c r="E65" s="22" t="s">
        <v>153</v>
      </c>
      <c r="F65" s="16">
        <v>46123</v>
      </c>
      <c r="G65">
        <f t="shared" si="22"/>
        <v>12</v>
      </c>
      <c r="H65" s="17">
        <v>1545</v>
      </c>
      <c r="I65" s="17">
        <v>1545</v>
      </c>
      <c r="J65" s="33">
        <f t="shared" si="21"/>
        <v>1.3672566371681416</v>
      </c>
      <c r="K65" s="17">
        <v>0</v>
      </c>
      <c r="L65" s="17">
        <v>0</v>
      </c>
      <c r="M65" s="17">
        <f t="shared" si="23"/>
        <v>0</v>
      </c>
      <c r="N65" s="20">
        <f t="shared" si="24"/>
        <v>0</v>
      </c>
      <c r="O65" s="17">
        <f t="shared" si="25"/>
        <v>1545</v>
      </c>
      <c r="P65" s="31">
        <f t="shared" si="26"/>
        <v>1.3672566371681416</v>
      </c>
      <c r="Q65" s="17">
        <v>1880</v>
      </c>
      <c r="R65" s="17">
        <v>0</v>
      </c>
      <c r="S65" s="27">
        <v>12</v>
      </c>
      <c r="T65" s="17">
        <f t="shared" si="27"/>
        <v>1880</v>
      </c>
      <c r="U65" s="23">
        <f t="shared" si="28"/>
        <v>1.663716814159292</v>
      </c>
      <c r="V65" s="17">
        <f t="shared" si="29"/>
        <v>-335</v>
      </c>
      <c r="W65" s="18">
        <f t="shared" si="30"/>
        <v>-0.17819148936170212</v>
      </c>
      <c r="X65" s="19">
        <f t="shared" si="31"/>
        <v>-0.17819148936170212</v>
      </c>
      <c r="Y65" s="17"/>
      <c r="AB65" s="16">
        <v>46123</v>
      </c>
      <c r="AC65" s="16">
        <v>46487</v>
      </c>
    </row>
    <row r="66" spans="1:29" x14ac:dyDescent="0.2">
      <c r="A66" t="s">
        <v>40</v>
      </c>
      <c r="B66" t="s">
        <v>154</v>
      </c>
      <c r="C66" t="s">
        <v>72</v>
      </c>
      <c r="D66">
        <v>1130</v>
      </c>
      <c r="E66" s="22" t="s">
        <v>155</v>
      </c>
      <c r="F66" s="16">
        <v>46199</v>
      </c>
      <c r="G66">
        <f t="shared" si="22"/>
        <v>12</v>
      </c>
      <c r="H66" s="17">
        <v>1635</v>
      </c>
      <c r="I66" s="17">
        <v>1635</v>
      </c>
      <c r="J66" s="33">
        <f t="shared" si="21"/>
        <v>1.4469026548672566</v>
      </c>
      <c r="K66" s="17">
        <v>0</v>
      </c>
      <c r="L66" s="17">
        <v>0</v>
      </c>
      <c r="M66" s="17">
        <f t="shared" si="23"/>
        <v>0</v>
      </c>
      <c r="N66" s="20">
        <f t="shared" si="24"/>
        <v>0</v>
      </c>
      <c r="O66" s="17">
        <f t="shared" si="25"/>
        <v>1635</v>
      </c>
      <c r="P66" s="31">
        <f t="shared" si="26"/>
        <v>1.4469026548672566</v>
      </c>
      <c r="Q66" s="17">
        <v>1985</v>
      </c>
      <c r="R66" s="17">
        <v>0</v>
      </c>
      <c r="S66" s="27">
        <v>12</v>
      </c>
      <c r="T66" s="17">
        <f t="shared" si="27"/>
        <v>1985</v>
      </c>
      <c r="U66" s="23">
        <f t="shared" si="28"/>
        <v>1.7566371681415929</v>
      </c>
      <c r="V66" s="17">
        <f t="shared" si="29"/>
        <v>-350</v>
      </c>
      <c r="W66" s="18">
        <f t="shared" si="30"/>
        <v>-0.17632241813602015</v>
      </c>
      <c r="X66" s="19">
        <f t="shared" si="31"/>
        <v>-0.17632241813602015</v>
      </c>
      <c r="Y66" s="17"/>
      <c r="AB66" s="16">
        <v>46199</v>
      </c>
      <c r="AC66" s="16">
        <v>46563</v>
      </c>
    </row>
    <row r="67" spans="1:29" x14ac:dyDescent="0.2">
      <c r="A67" t="s">
        <v>40</v>
      </c>
      <c r="B67" t="s">
        <v>156</v>
      </c>
      <c r="C67" t="s">
        <v>72</v>
      </c>
      <c r="D67">
        <v>1130</v>
      </c>
      <c r="E67" s="22" t="s">
        <v>157</v>
      </c>
      <c r="F67" s="16">
        <v>46137</v>
      </c>
      <c r="G67">
        <f t="shared" si="22"/>
        <v>12</v>
      </c>
      <c r="H67" s="17">
        <v>1555</v>
      </c>
      <c r="I67" s="17">
        <v>1230</v>
      </c>
      <c r="J67" s="33">
        <f t="shared" si="21"/>
        <v>1.0884955752212389</v>
      </c>
      <c r="K67" s="17">
        <v>0</v>
      </c>
      <c r="L67" s="17">
        <v>0</v>
      </c>
      <c r="M67" s="17">
        <f t="shared" si="23"/>
        <v>0</v>
      </c>
      <c r="N67" s="20">
        <f t="shared" si="24"/>
        <v>0</v>
      </c>
      <c r="O67" s="17">
        <f t="shared" si="25"/>
        <v>1230</v>
      </c>
      <c r="P67" s="31">
        <f t="shared" si="26"/>
        <v>1.0884955752212389</v>
      </c>
      <c r="Q67" s="17">
        <v>1855</v>
      </c>
      <c r="R67" s="17">
        <v>0</v>
      </c>
      <c r="S67" s="27">
        <v>12</v>
      </c>
      <c r="T67" s="17">
        <f t="shared" si="27"/>
        <v>1855</v>
      </c>
      <c r="U67" s="23">
        <f t="shared" si="28"/>
        <v>1.6415929203539823</v>
      </c>
      <c r="V67" s="17">
        <f t="shared" si="29"/>
        <v>-625</v>
      </c>
      <c r="W67" s="18">
        <f t="shared" si="30"/>
        <v>-0.33692722371967654</v>
      </c>
      <c r="X67" s="19">
        <f t="shared" si="31"/>
        <v>-0.33692722371967654</v>
      </c>
      <c r="Y67" s="17"/>
      <c r="AB67" s="16">
        <v>46137</v>
      </c>
      <c r="AC67" s="16">
        <v>46501</v>
      </c>
    </row>
    <row r="68" spans="1:29" x14ac:dyDescent="0.2">
      <c r="A68" t="s">
        <v>40</v>
      </c>
      <c r="B68" t="s">
        <v>158</v>
      </c>
      <c r="C68" t="s">
        <v>72</v>
      </c>
      <c r="D68">
        <v>1130</v>
      </c>
      <c r="E68" s="22" t="s">
        <v>159</v>
      </c>
      <c r="F68" s="16">
        <v>46150</v>
      </c>
      <c r="G68">
        <f t="shared" si="22"/>
        <v>12</v>
      </c>
      <c r="H68" s="17">
        <v>1580</v>
      </c>
      <c r="I68" s="17">
        <v>1580</v>
      </c>
      <c r="J68" s="33">
        <f t="shared" si="21"/>
        <v>1.3982300884955752</v>
      </c>
      <c r="K68" s="17">
        <v>0</v>
      </c>
      <c r="L68" s="17">
        <v>0</v>
      </c>
      <c r="M68" s="17">
        <f t="shared" si="23"/>
        <v>0</v>
      </c>
      <c r="N68" s="20">
        <f t="shared" si="24"/>
        <v>0</v>
      </c>
      <c r="O68" s="17">
        <f t="shared" si="25"/>
        <v>1580</v>
      </c>
      <c r="P68" s="31">
        <f t="shared" si="26"/>
        <v>1.3982300884955752</v>
      </c>
      <c r="Q68" s="17">
        <v>1825</v>
      </c>
      <c r="R68" s="17">
        <v>0</v>
      </c>
      <c r="S68" s="27">
        <v>12</v>
      </c>
      <c r="T68" s="17">
        <f t="shared" si="27"/>
        <v>1825</v>
      </c>
      <c r="U68" s="23">
        <f t="shared" si="28"/>
        <v>1.6150442477876106</v>
      </c>
      <c r="V68" s="17">
        <f t="shared" si="29"/>
        <v>-245</v>
      </c>
      <c r="W68" s="18">
        <f t="shared" si="30"/>
        <v>-0.13424657534246576</v>
      </c>
      <c r="X68" s="19">
        <f t="shared" si="31"/>
        <v>-0.13424657534246576</v>
      </c>
      <c r="Y68" s="17"/>
      <c r="AB68" s="16">
        <v>46150</v>
      </c>
      <c r="AC68" s="16">
        <v>46514</v>
      </c>
    </row>
    <row r="69" spans="1:29" x14ac:dyDescent="0.2">
      <c r="A69" t="s">
        <v>40</v>
      </c>
      <c r="B69" t="s">
        <v>160</v>
      </c>
      <c r="C69" t="s">
        <v>84</v>
      </c>
      <c r="D69">
        <v>550</v>
      </c>
      <c r="E69" s="22" t="s">
        <v>161</v>
      </c>
      <c r="F69" s="16">
        <v>46179</v>
      </c>
      <c r="G69">
        <f t="shared" ref="G69:G74" si="32">ROUND((AC69-AB69)/30,0)</f>
        <v>12</v>
      </c>
      <c r="H69" s="17">
        <v>1181</v>
      </c>
      <c r="I69" s="17">
        <v>1181</v>
      </c>
      <c r="J69" s="33">
        <f t="shared" si="21"/>
        <v>2.1472727272727274</v>
      </c>
      <c r="K69" s="17">
        <v>0</v>
      </c>
      <c r="L69" s="17">
        <v>0</v>
      </c>
      <c r="M69" s="17">
        <f t="shared" ref="M69:M74" si="33">K69+L69</f>
        <v>0</v>
      </c>
      <c r="N69" s="20">
        <f t="shared" ref="N69:N74" si="34">IFERROR(M69/I69,0)</f>
        <v>0</v>
      </c>
      <c r="O69" s="17">
        <f t="shared" ref="O69:O74" si="35">IFERROR(((I69*G69)-M69)/G69,0)</f>
        <v>1181</v>
      </c>
      <c r="P69" s="31">
        <f t="shared" ref="P69:P74" si="36">IFERROR(O69/D69,0)</f>
        <v>2.1472727272727274</v>
      </c>
      <c r="Q69" s="17">
        <v>1420</v>
      </c>
      <c r="R69" s="17">
        <v>0</v>
      </c>
      <c r="S69" s="27">
        <v>12</v>
      </c>
      <c r="T69" s="17">
        <f t="shared" ref="T69:T74" si="37">IFERROR(((Q69*S69)-R69)/S69,0)</f>
        <v>1420</v>
      </c>
      <c r="U69" s="23">
        <f t="shared" ref="U69:U74" si="38">IFERROR(T69/D69,0)</f>
        <v>2.581818181818182</v>
      </c>
      <c r="V69" s="17">
        <f t="shared" ref="V69:V74" si="39">I69-Q69</f>
        <v>-239</v>
      </c>
      <c r="W69" s="18">
        <f t="shared" ref="W69:W74" si="40">IFERROR((I69-Q69)/Q69,0)</f>
        <v>-0.16830985915492958</v>
      </c>
      <c r="X69" s="19">
        <f t="shared" ref="X69:X74" si="41">IFERROR((O69-T69)/T69,0)</f>
        <v>-0.16830985915492958</v>
      </c>
      <c r="Y69" s="17"/>
      <c r="AB69" s="16">
        <v>46179</v>
      </c>
      <c r="AC69" s="16">
        <v>46543</v>
      </c>
    </row>
    <row r="70" spans="1:29" hidden="1" x14ac:dyDescent="0.2">
      <c r="A70" t="s">
        <v>40</v>
      </c>
      <c r="B70" t="s">
        <v>162</v>
      </c>
      <c r="C70" t="s">
        <v>84</v>
      </c>
      <c r="D70">
        <v>550</v>
      </c>
      <c r="E70" s="22" t="s">
        <v>163</v>
      </c>
      <c r="F70" s="16">
        <v>46203</v>
      </c>
      <c r="G70">
        <f t="shared" si="32"/>
        <v>12</v>
      </c>
      <c r="H70" s="17">
        <v>1096</v>
      </c>
      <c r="I70" s="17">
        <v>1096</v>
      </c>
      <c r="J70" s="33">
        <f t="shared" si="21"/>
        <v>1.9927272727272727</v>
      </c>
      <c r="K70" s="17">
        <v>0</v>
      </c>
      <c r="L70" s="17">
        <v>0</v>
      </c>
      <c r="M70" s="17">
        <f t="shared" si="33"/>
        <v>0</v>
      </c>
      <c r="N70" s="20">
        <f t="shared" si="34"/>
        <v>0</v>
      </c>
      <c r="O70" s="17">
        <f t="shared" si="35"/>
        <v>1096</v>
      </c>
      <c r="P70" s="31">
        <f t="shared" si="36"/>
        <v>1.9927272727272727</v>
      </c>
      <c r="Q70" s="17">
        <v>1145</v>
      </c>
      <c r="R70" s="17">
        <v>0</v>
      </c>
      <c r="S70" s="27">
        <v>7</v>
      </c>
      <c r="T70" s="17">
        <f t="shared" si="37"/>
        <v>1145</v>
      </c>
      <c r="U70" s="23">
        <f t="shared" si="38"/>
        <v>2.081818181818182</v>
      </c>
      <c r="V70" s="17">
        <f t="shared" si="39"/>
        <v>-49</v>
      </c>
      <c r="W70" s="18">
        <f t="shared" si="40"/>
        <v>-4.2794759825327509E-2</v>
      </c>
      <c r="X70" s="19">
        <f t="shared" si="41"/>
        <v>-4.2794759825327509E-2</v>
      </c>
      <c r="Y70" s="17"/>
      <c r="AB70" s="16">
        <v>46203</v>
      </c>
      <c r="AC70" s="16">
        <v>46567</v>
      </c>
    </row>
    <row r="71" spans="1:29" x14ac:dyDescent="0.2">
      <c r="A71" t="s">
        <v>40</v>
      </c>
      <c r="B71" t="s">
        <v>164</v>
      </c>
      <c r="C71" t="s">
        <v>84</v>
      </c>
      <c r="D71">
        <v>550</v>
      </c>
      <c r="E71" s="22" t="s">
        <v>165</v>
      </c>
      <c r="F71" s="16">
        <v>46145</v>
      </c>
      <c r="G71">
        <f t="shared" si="32"/>
        <v>12</v>
      </c>
      <c r="H71" s="17">
        <v>1176</v>
      </c>
      <c r="I71" s="17">
        <v>885</v>
      </c>
      <c r="J71" s="33">
        <f t="shared" si="21"/>
        <v>1.6090909090909091</v>
      </c>
      <c r="K71" s="17">
        <v>0</v>
      </c>
      <c r="L71" s="17">
        <v>0</v>
      </c>
      <c r="M71" s="17">
        <f t="shared" si="33"/>
        <v>0</v>
      </c>
      <c r="N71" s="20">
        <f t="shared" si="34"/>
        <v>0</v>
      </c>
      <c r="O71" s="17">
        <f t="shared" si="35"/>
        <v>885</v>
      </c>
      <c r="P71" s="31">
        <f t="shared" si="36"/>
        <v>1.6090909090909091</v>
      </c>
      <c r="Q71" s="17">
        <v>1020</v>
      </c>
      <c r="R71" s="17">
        <v>0</v>
      </c>
      <c r="S71" s="27">
        <v>12</v>
      </c>
      <c r="T71" s="17">
        <f t="shared" si="37"/>
        <v>1020</v>
      </c>
      <c r="U71" s="23">
        <f t="shared" si="38"/>
        <v>1.8545454545454545</v>
      </c>
      <c r="V71" s="17">
        <f t="shared" si="39"/>
        <v>-135</v>
      </c>
      <c r="W71" s="18">
        <f t="shared" si="40"/>
        <v>-0.13235294117647059</v>
      </c>
      <c r="X71" s="19">
        <f t="shared" si="41"/>
        <v>-0.13235294117647059</v>
      </c>
      <c r="Y71" s="17"/>
      <c r="AB71" s="16">
        <v>46145</v>
      </c>
      <c r="AC71" s="16">
        <v>46509</v>
      </c>
    </row>
    <row r="72" spans="1:29" x14ac:dyDescent="0.2">
      <c r="A72" t="s">
        <v>40</v>
      </c>
      <c r="B72" t="s">
        <v>166</v>
      </c>
      <c r="C72" t="s">
        <v>93</v>
      </c>
      <c r="D72">
        <v>500</v>
      </c>
      <c r="E72" s="22" t="s">
        <v>167</v>
      </c>
      <c r="F72" s="16">
        <v>46189</v>
      </c>
      <c r="G72">
        <f t="shared" si="32"/>
        <v>12</v>
      </c>
      <c r="H72" s="17">
        <v>1050</v>
      </c>
      <c r="I72" s="17">
        <v>1050</v>
      </c>
      <c r="J72" s="33">
        <f t="shared" si="21"/>
        <v>2.1</v>
      </c>
      <c r="K72" s="17">
        <v>0</v>
      </c>
      <c r="L72" s="17">
        <v>0</v>
      </c>
      <c r="M72" s="17">
        <f t="shared" si="33"/>
        <v>0</v>
      </c>
      <c r="N72" s="20">
        <f t="shared" si="34"/>
        <v>0</v>
      </c>
      <c r="O72" s="17">
        <f t="shared" si="35"/>
        <v>1050</v>
      </c>
      <c r="P72" s="31">
        <f t="shared" si="36"/>
        <v>2.1</v>
      </c>
      <c r="Q72" s="17">
        <v>1240</v>
      </c>
      <c r="R72" s="17">
        <v>0</v>
      </c>
      <c r="S72" s="27">
        <v>12</v>
      </c>
      <c r="T72" s="17">
        <f t="shared" si="37"/>
        <v>1240</v>
      </c>
      <c r="U72" s="23">
        <f t="shared" si="38"/>
        <v>2.48</v>
      </c>
      <c r="V72" s="17">
        <f t="shared" si="39"/>
        <v>-190</v>
      </c>
      <c r="W72" s="18">
        <f t="shared" si="40"/>
        <v>-0.15322580645161291</v>
      </c>
      <c r="X72" s="19">
        <f t="shared" si="41"/>
        <v>-0.15322580645161291</v>
      </c>
      <c r="Y72" s="17"/>
      <c r="AB72" s="16">
        <v>46189</v>
      </c>
      <c r="AC72" s="16">
        <v>46553</v>
      </c>
    </row>
    <row r="73" spans="1:29" x14ac:dyDescent="0.2">
      <c r="A73" t="s">
        <v>40</v>
      </c>
      <c r="B73" t="s">
        <v>168</v>
      </c>
      <c r="C73" t="s">
        <v>93</v>
      </c>
      <c r="D73">
        <v>500</v>
      </c>
      <c r="E73" s="22" t="s">
        <v>169</v>
      </c>
      <c r="F73" s="16">
        <v>46191</v>
      </c>
      <c r="G73">
        <f t="shared" si="32"/>
        <v>12</v>
      </c>
      <c r="H73" s="17">
        <v>1010</v>
      </c>
      <c r="I73" s="17">
        <v>1010</v>
      </c>
      <c r="J73" s="33">
        <f t="shared" si="21"/>
        <v>2.02</v>
      </c>
      <c r="K73" s="17">
        <v>0</v>
      </c>
      <c r="L73" s="17">
        <v>0</v>
      </c>
      <c r="M73" s="17">
        <f t="shared" si="33"/>
        <v>0</v>
      </c>
      <c r="N73" s="20">
        <f t="shared" si="34"/>
        <v>0</v>
      </c>
      <c r="O73" s="17">
        <f t="shared" si="35"/>
        <v>1010</v>
      </c>
      <c r="P73" s="31">
        <f t="shared" si="36"/>
        <v>2.02</v>
      </c>
      <c r="Q73" s="17">
        <v>1181</v>
      </c>
      <c r="R73" s="17">
        <v>0</v>
      </c>
      <c r="S73" s="27">
        <v>12</v>
      </c>
      <c r="T73" s="17">
        <f t="shared" si="37"/>
        <v>1181</v>
      </c>
      <c r="U73" s="23">
        <f t="shared" si="38"/>
        <v>2.3620000000000001</v>
      </c>
      <c r="V73" s="17">
        <f t="shared" si="39"/>
        <v>-171</v>
      </c>
      <c r="W73" s="18">
        <f t="shared" si="40"/>
        <v>-0.14479254868755292</v>
      </c>
      <c r="X73" s="19">
        <f t="shared" si="41"/>
        <v>-0.14479254868755292</v>
      </c>
      <c r="Y73" s="17"/>
      <c r="AB73" s="16">
        <v>46191</v>
      </c>
      <c r="AC73" s="16">
        <v>46555</v>
      </c>
    </row>
    <row r="74" spans="1:29" x14ac:dyDescent="0.2">
      <c r="A74" t="s">
        <v>40</v>
      </c>
      <c r="B74" t="s">
        <v>170</v>
      </c>
      <c r="C74" t="s">
        <v>93</v>
      </c>
      <c r="D74">
        <v>500</v>
      </c>
      <c r="E74" s="22" t="s">
        <v>171</v>
      </c>
      <c r="F74" s="16">
        <v>46116</v>
      </c>
      <c r="G74">
        <f t="shared" si="32"/>
        <v>12</v>
      </c>
      <c r="H74" s="17">
        <v>940</v>
      </c>
      <c r="I74" s="17">
        <v>780</v>
      </c>
      <c r="J74" s="33">
        <f t="shared" si="21"/>
        <v>1.56</v>
      </c>
      <c r="K74" s="17">
        <v>0</v>
      </c>
      <c r="L74" s="17">
        <v>0</v>
      </c>
      <c r="M74" s="17">
        <f t="shared" si="33"/>
        <v>0</v>
      </c>
      <c r="N74" s="20">
        <f t="shared" si="34"/>
        <v>0</v>
      </c>
      <c r="O74" s="17">
        <f t="shared" si="35"/>
        <v>780</v>
      </c>
      <c r="P74" s="31">
        <f t="shared" si="36"/>
        <v>1.56</v>
      </c>
      <c r="Q74" s="17">
        <v>1050</v>
      </c>
      <c r="R74" s="17">
        <v>2100</v>
      </c>
      <c r="S74" s="27">
        <v>12</v>
      </c>
      <c r="T74" s="17">
        <f t="shared" si="37"/>
        <v>875</v>
      </c>
      <c r="U74" s="23">
        <f t="shared" si="38"/>
        <v>1.75</v>
      </c>
      <c r="V74" s="17">
        <f t="shared" si="39"/>
        <v>-270</v>
      </c>
      <c r="W74" s="18">
        <f t="shared" si="40"/>
        <v>-0.25714285714285712</v>
      </c>
      <c r="X74" s="19">
        <f t="shared" si="41"/>
        <v>-0.10857142857142857</v>
      </c>
      <c r="Y74" s="17"/>
      <c r="AB74" s="16">
        <v>46116</v>
      </c>
      <c r="AC74" s="16">
        <v>46480</v>
      </c>
    </row>
    <row r="76" spans="1:29" ht="21" x14ac:dyDescent="0.25">
      <c r="B76" s="7" t="s">
        <v>62</v>
      </c>
    </row>
    <row r="77" spans="1:29" ht="16" x14ac:dyDescent="0.2">
      <c r="B77" s="8" t="s">
        <v>99</v>
      </c>
    </row>
    <row r="79" spans="1:29" ht="3" customHeight="1" x14ac:dyDescent="0.2">
      <c r="A79" t="s">
        <v>188</v>
      </c>
      <c r="B79" s="6" t="s">
        <v>189</v>
      </c>
      <c r="C79" s="5" t="s">
        <v>190</v>
      </c>
      <c r="D79" s="5" t="s">
        <v>191</v>
      </c>
      <c r="E79" s="5" t="s">
        <v>192</v>
      </c>
      <c r="F79" s="4" t="s">
        <v>18</v>
      </c>
      <c r="G79" s="4" t="s">
        <v>193</v>
      </c>
      <c r="H79" s="4" t="s">
        <v>194</v>
      </c>
      <c r="I79" s="4" t="s">
        <v>195</v>
      </c>
      <c r="J79" s="4" t="s">
        <v>196</v>
      </c>
      <c r="K79" s="4" t="s">
        <v>197</v>
      </c>
      <c r="L79" s="4" t="s">
        <v>198</v>
      </c>
      <c r="M79" s="4" t="s">
        <v>199</v>
      </c>
      <c r="N79" s="4" t="s">
        <v>200</v>
      </c>
      <c r="O79" s="4" t="s">
        <v>201</v>
      </c>
      <c r="P79" s="3" t="s">
        <v>202</v>
      </c>
      <c r="Q79" s="2" t="s">
        <v>19</v>
      </c>
      <c r="R79" s="4" t="s">
        <v>203</v>
      </c>
      <c r="S79" s="4" t="s">
        <v>204</v>
      </c>
      <c r="T79" s="4" t="s">
        <v>205</v>
      </c>
      <c r="U79" s="4" t="s">
        <v>206</v>
      </c>
      <c r="V79" s="4" t="s">
        <v>207</v>
      </c>
      <c r="W79" s="4" t="s">
        <v>208</v>
      </c>
      <c r="X79" s="3" t="s">
        <v>209</v>
      </c>
      <c r="Y79" s="26" t="s">
        <v>210</v>
      </c>
      <c r="Z79" s="24" t="s">
        <v>211</v>
      </c>
      <c r="AA79" s="21" t="s">
        <v>212</v>
      </c>
    </row>
    <row r="80" spans="1:29" ht="32" x14ac:dyDescent="0.2">
      <c r="B80" s="10" t="s">
        <v>1</v>
      </c>
      <c r="C80" s="10" t="s">
        <v>2</v>
      </c>
      <c r="D80" s="11" t="s">
        <v>3</v>
      </c>
      <c r="E80" s="11" t="s">
        <v>4</v>
      </c>
      <c r="F80" s="14" t="s">
        <v>60</v>
      </c>
      <c r="G80" s="14" t="s">
        <v>6</v>
      </c>
      <c r="H80" s="14" t="s">
        <v>7</v>
      </c>
      <c r="I80" s="14" t="s">
        <v>8</v>
      </c>
      <c r="J80" s="28" t="s">
        <v>182</v>
      </c>
      <c r="K80" s="14" t="s">
        <v>9</v>
      </c>
      <c r="L80" s="14" t="s">
        <v>10</v>
      </c>
      <c r="M80" s="14" t="s">
        <v>11</v>
      </c>
      <c r="N80" s="14" t="s">
        <v>12</v>
      </c>
      <c r="O80" s="14" t="s">
        <v>13</v>
      </c>
      <c r="P80" s="29" t="s">
        <v>183</v>
      </c>
      <c r="Q80" s="10" t="s">
        <v>2</v>
      </c>
      <c r="R80" s="11" t="s">
        <v>3</v>
      </c>
      <c r="S80" s="11" t="s">
        <v>4</v>
      </c>
      <c r="T80" s="13" t="s">
        <v>8</v>
      </c>
      <c r="U80" s="14" t="s">
        <v>11</v>
      </c>
      <c r="V80" s="14" t="s">
        <v>6</v>
      </c>
      <c r="W80" s="14" t="s">
        <v>13</v>
      </c>
      <c r="X80" s="15" t="s">
        <v>14</v>
      </c>
      <c r="Y80" s="13" t="s">
        <v>15</v>
      </c>
      <c r="Z80" s="14" t="s">
        <v>16</v>
      </c>
      <c r="AA80" s="15" t="s">
        <v>17</v>
      </c>
    </row>
    <row r="81" spans="1:29" hidden="1" x14ac:dyDescent="0.2">
      <c r="A81" t="s">
        <v>40</v>
      </c>
      <c r="B81" t="s">
        <v>172</v>
      </c>
      <c r="C81" s="25" t="s">
        <v>44</v>
      </c>
      <c r="D81">
        <v>657</v>
      </c>
      <c r="E81" s="22" t="s">
        <v>173</v>
      </c>
      <c r="F81" s="16">
        <v>46185</v>
      </c>
      <c r="G81">
        <f t="shared" ref="G81:G86" si="42">ROUND((AC81-AB81)/30,0)</f>
        <v>7</v>
      </c>
      <c r="H81" s="17">
        <v>1159</v>
      </c>
      <c r="I81" s="17">
        <v>1159</v>
      </c>
      <c r="J81" s="33">
        <f>I81/D81</f>
        <v>1.7640791476407915</v>
      </c>
      <c r="K81" s="17">
        <v>0</v>
      </c>
      <c r="L81" s="17">
        <v>0</v>
      </c>
      <c r="M81" s="17">
        <f t="shared" ref="M81:M86" si="43">K81+L81</f>
        <v>0</v>
      </c>
      <c r="N81" s="20">
        <f t="shared" ref="N81:N86" si="44">IFERROR(M81/I81,0)</f>
        <v>0</v>
      </c>
      <c r="O81" s="17">
        <f t="shared" ref="O81:O86" si="45">IFERROR(((I81*G81)-M81)/G81,0)</f>
        <v>1159</v>
      </c>
      <c r="P81" s="31">
        <f t="shared" ref="P81:P86" si="46">IFERROR(O81/D81,0)</f>
        <v>1.7640791476407915</v>
      </c>
      <c r="Q81" s="25" t="s">
        <v>93</v>
      </c>
      <c r="R81">
        <v>500</v>
      </c>
      <c r="S81" t="s">
        <v>53</v>
      </c>
      <c r="T81" s="17">
        <v>1150</v>
      </c>
      <c r="U81" s="17">
        <v>1725</v>
      </c>
      <c r="V81" s="27">
        <v>12</v>
      </c>
      <c r="W81" s="17">
        <f t="shared" ref="W81:W86" si="47">IFERROR(((T81*V81)-U81)/V81,0)</f>
        <v>1006.25</v>
      </c>
      <c r="X81" s="23">
        <f t="shared" ref="X81:X86" si="48">IFERROR(W81/R81,0)</f>
        <v>2.0125000000000002</v>
      </c>
      <c r="Y81" s="17">
        <f t="shared" ref="Y81:Y86" si="49">I81-T81</f>
        <v>9</v>
      </c>
      <c r="Z81" s="18">
        <f t="shared" ref="Z81:Z86" si="50">IFERROR((I81-T81)/T81,0)</f>
        <v>7.8260869565217397E-3</v>
      </c>
      <c r="AA81" s="19">
        <f t="shared" ref="AA81:AA86" si="51">IFERROR((O81-W81)/W81,0)</f>
        <v>0.15180124223602484</v>
      </c>
      <c r="AB81" s="16">
        <v>46185</v>
      </c>
      <c r="AC81" s="16">
        <v>46398</v>
      </c>
    </row>
    <row r="82" spans="1:29" x14ac:dyDescent="0.2">
      <c r="A82" t="s">
        <v>40</v>
      </c>
      <c r="B82" t="s">
        <v>77</v>
      </c>
      <c r="C82" s="25" t="s">
        <v>80</v>
      </c>
      <c r="D82">
        <v>930</v>
      </c>
      <c r="E82" s="22" t="s">
        <v>76</v>
      </c>
      <c r="F82" s="16">
        <v>46150</v>
      </c>
      <c r="G82">
        <f t="shared" si="42"/>
        <v>12</v>
      </c>
      <c r="H82" s="17">
        <v>1288</v>
      </c>
      <c r="I82" s="17">
        <v>1288</v>
      </c>
      <c r="J82" s="33">
        <f t="shared" ref="J82:J86" si="52">I82/D82</f>
        <v>1.3849462365591398</v>
      </c>
      <c r="K82" s="17">
        <v>0</v>
      </c>
      <c r="L82" s="17">
        <v>0</v>
      </c>
      <c r="M82" s="17">
        <f t="shared" si="43"/>
        <v>0</v>
      </c>
      <c r="N82" s="20">
        <f t="shared" si="44"/>
        <v>0</v>
      </c>
      <c r="O82" s="17">
        <f t="shared" si="45"/>
        <v>1288</v>
      </c>
      <c r="P82" s="31">
        <f t="shared" si="46"/>
        <v>1.3849462365591398</v>
      </c>
      <c r="Q82" s="25" t="s">
        <v>67</v>
      </c>
      <c r="R82">
        <v>1028</v>
      </c>
      <c r="S82" t="s">
        <v>75</v>
      </c>
      <c r="T82" s="17">
        <v>1690</v>
      </c>
      <c r="U82" s="17">
        <v>0</v>
      </c>
      <c r="V82" s="27">
        <v>12</v>
      </c>
      <c r="W82" s="17">
        <f t="shared" si="47"/>
        <v>1690</v>
      </c>
      <c r="X82" s="23">
        <f t="shared" si="48"/>
        <v>1.6439688715953307</v>
      </c>
      <c r="Y82" s="17">
        <f t="shared" si="49"/>
        <v>-402</v>
      </c>
      <c r="Z82" s="18">
        <f t="shared" si="50"/>
        <v>-0.23786982248520711</v>
      </c>
      <c r="AA82" s="19">
        <f t="shared" si="51"/>
        <v>-0.23786982248520711</v>
      </c>
      <c r="AB82" s="16">
        <v>46150</v>
      </c>
      <c r="AC82" s="16">
        <v>46514</v>
      </c>
    </row>
    <row r="83" spans="1:29" x14ac:dyDescent="0.2">
      <c r="A83" t="s">
        <v>40</v>
      </c>
      <c r="B83" t="s">
        <v>79</v>
      </c>
      <c r="C83" s="25" t="s">
        <v>72</v>
      </c>
      <c r="D83">
        <v>1130</v>
      </c>
      <c r="E83" s="22" t="s">
        <v>78</v>
      </c>
      <c r="F83" s="16">
        <v>46122</v>
      </c>
      <c r="G83">
        <f t="shared" si="42"/>
        <v>12</v>
      </c>
      <c r="H83" s="17">
        <v>1510</v>
      </c>
      <c r="I83" s="17">
        <v>1360</v>
      </c>
      <c r="J83" s="33">
        <f t="shared" si="52"/>
        <v>1.2035398230088497</v>
      </c>
      <c r="K83" s="17">
        <v>0</v>
      </c>
      <c r="L83" s="17">
        <v>0</v>
      </c>
      <c r="M83" s="17">
        <f t="shared" si="43"/>
        <v>0</v>
      </c>
      <c r="N83" s="20">
        <f t="shared" si="44"/>
        <v>0</v>
      </c>
      <c r="O83" s="17">
        <f t="shared" si="45"/>
        <v>1360</v>
      </c>
      <c r="P83" s="31">
        <f t="shared" si="46"/>
        <v>1.2035398230088497</v>
      </c>
      <c r="Q83" s="25" t="s">
        <v>72</v>
      </c>
      <c r="R83">
        <v>1130</v>
      </c>
      <c r="S83" t="s">
        <v>52</v>
      </c>
      <c r="T83" s="17">
        <v>1980</v>
      </c>
      <c r="U83" s="17">
        <v>0</v>
      </c>
      <c r="V83" s="27">
        <v>12</v>
      </c>
      <c r="W83" s="17">
        <f t="shared" si="47"/>
        <v>1980</v>
      </c>
      <c r="X83" s="23">
        <f t="shared" si="48"/>
        <v>1.752212389380531</v>
      </c>
      <c r="Y83" s="17">
        <f t="shared" si="49"/>
        <v>-620</v>
      </c>
      <c r="Z83" s="18">
        <f t="shared" si="50"/>
        <v>-0.31313131313131315</v>
      </c>
      <c r="AA83" s="19">
        <f t="shared" si="51"/>
        <v>-0.31313131313131315</v>
      </c>
      <c r="AB83" s="16">
        <v>46122</v>
      </c>
      <c r="AC83" s="16">
        <v>46486</v>
      </c>
    </row>
    <row r="84" spans="1:29" hidden="1" x14ac:dyDescent="0.2">
      <c r="A84" t="s">
        <v>40</v>
      </c>
      <c r="B84" t="s">
        <v>146</v>
      </c>
      <c r="C84" s="25" t="s">
        <v>72</v>
      </c>
      <c r="D84">
        <v>1130</v>
      </c>
      <c r="E84" s="22" t="s">
        <v>51</v>
      </c>
      <c r="F84" s="16">
        <v>46181</v>
      </c>
      <c r="G84">
        <f t="shared" si="42"/>
        <v>12</v>
      </c>
      <c r="H84" s="17">
        <v>1600</v>
      </c>
      <c r="I84" s="17">
        <v>1330</v>
      </c>
      <c r="J84" s="33">
        <f t="shared" si="52"/>
        <v>1.1769911504424779</v>
      </c>
      <c r="K84" s="17">
        <v>0</v>
      </c>
      <c r="L84" s="17">
        <v>0</v>
      </c>
      <c r="M84" s="17">
        <f t="shared" si="43"/>
        <v>0</v>
      </c>
      <c r="N84" s="20">
        <f t="shared" si="44"/>
        <v>0</v>
      </c>
      <c r="O84" s="17">
        <f t="shared" si="45"/>
        <v>1330</v>
      </c>
      <c r="P84" s="31">
        <f t="shared" si="46"/>
        <v>1.1769911504424779</v>
      </c>
      <c r="Q84" s="25" t="s">
        <v>72</v>
      </c>
      <c r="R84">
        <v>1130</v>
      </c>
      <c r="S84" t="s">
        <v>147</v>
      </c>
      <c r="T84" s="17">
        <v>1280</v>
      </c>
      <c r="U84" s="17">
        <v>0</v>
      </c>
      <c r="V84" s="27">
        <v>15</v>
      </c>
      <c r="W84" s="17">
        <f t="shared" si="47"/>
        <v>1280</v>
      </c>
      <c r="X84" s="23">
        <f t="shared" si="48"/>
        <v>1.1327433628318584</v>
      </c>
      <c r="Y84" s="17">
        <f t="shared" si="49"/>
        <v>50</v>
      </c>
      <c r="Z84" s="18">
        <f t="shared" si="50"/>
        <v>3.90625E-2</v>
      </c>
      <c r="AA84" s="19">
        <f t="shared" si="51"/>
        <v>3.90625E-2</v>
      </c>
      <c r="AB84" s="16">
        <v>46181</v>
      </c>
      <c r="AC84" s="16">
        <v>46545</v>
      </c>
    </row>
    <row r="85" spans="1:29" hidden="1" x14ac:dyDescent="0.2">
      <c r="A85" t="s">
        <v>40</v>
      </c>
      <c r="B85" t="s">
        <v>50</v>
      </c>
      <c r="C85" s="25" t="s">
        <v>72</v>
      </c>
      <c r="D85">
        <v>1130</v>
      </c>
      <c r="E85" s="22" t="s">
        <v>82</v>
      </c>
      <c r="F85" s="16">
        <v>46179</v>
      </c>
      <c r="G85">
        <f t="shared" si="42"/>
        <v>12</v>
      </c>
      <c r="H85" s="17">
        <v>1599</v>
      </c>
      <c r="I85" s="17">
        <v>1599</v>
      </c>
      <c r="J85" s="33">
        <f t="shared" si="52"/>
        <v>1.4150442477876106</v>
      </c>
      <c r="K85" s="17">
        <v>0</v>
      </c>
      <c r="L85" s="17">
        <v>0</v>
      </c>
      <c r="M85" s="17">
        <f t="shared" si="43"/>
        <v>0</v>
      </c>
      <c r="N85" s="20">
        <f t="shared" si="44"/>
        <v>0</v>
      </c>
      <c r="O85" s="17">
        <f t="shared" si="45"/>
        <v>1599</v>
      </c>
      <c r="P85" s="31">
        <f t="shared" si="46"/>
        <v>1.4150442477876106</v>
      </c>
      <c r="Q85" s="25" t="s">
        <v>49</v>
      </c>
      <c r="R85">
        <v>814</v>
      </c>
      <c r="S85" t="s">
        <v>174</v>
      </c>
      <c r="T85" s="17">
        <v>1510</v>
      </c>
      <c r="U85" s="17">
        <v>0</v>
      </c>
      <c r="V85" s="27">
        <v>10</v>
      </c>
      <c r="W85" s="17">
        <f t="shared" si="47"/>
        <v>1510</v>
      </c>
      <c r="X85" s="23">
        <f t="shared" si="48"/>
        <v>1.855036855036855</v>
      </c>
      <c r="Y85" s="17">
        <f t="shared" si="49"/>
        <v>89</v>
      </c>
      <c r="Z85" s="18">
        <f t="shared" si="50"/>
        <v>5.8940397350993379E-2</v>
      </c>
      <c r="AA85" s="19">
        <f t="shared" si="51"/>
        <v>5.8940397350993379E-2</v>
      </c>
      <c r="AB85" s="16">
        <v>46179</v>
      </c>
      <c r="AC85" s="16">
        <v>46543</v>
      </c>
    </row>
    <row r="86" spans="1:29" x14ac:dyDescent="0.2">
      <c r="A86" t="s">
        <v>40</v>
      </c>
      <c r="B86" t="s">
        <v>175</v>
      </c>
      <c r="C86" s="25" t="s">
        <v>72</v>
      </c>
      <c r="D86">
        <v>1130</v>
      </c>
      <c r="E86" s="22" t="s">
        <v>176</v>
      </c>
      <c r="F86" s="16">
        <v>46142</v>
      </c>
      <c r="G86">
        <f t="shared" si="42"/>
        <v>12</v>
      </c>
      <c r="H86" s="17">
        <v>1365</v>
      </c>
      <c r="I86" s="17">
        <v>1365</v>
      </c>
      <c r="J86" s="33">
        <f t="shared" si="52"/>
        <v>1.2079646017699115</v>
      </c>
      <c r="K86" s="17">
        <v>0</v>
      </c>
      <c r="L86" s="17">
        <v>0</v>
      </c>
      <c r="M86" s="17">
        <f t="shared" si="43"/>
        <v>0</v>
      </c>
      <c r="N86" s="20">
        <f t="shared" si="44"/>
        <v>0</v>
      </c>
      <c r="O86" s="17">
        <f t="shared" si="45"/>
        <v>1365</v>
      </c>
      <c r="P86" s="31">
        <f t="shared" si="46"/>
        <v>1.2079646017699115</v>
      </c>
      <c r="Q86" s="25" t="s">
        <v>39</v>
      </c>
      <c r="R86">
        <v>875</v>
      </c>
      <c r="S86" t="s">
        <v>177</v>
      </c>
      <c r="T86" s="17">
        <v>1535</v>
      </c>
      <c r="U86" s="17">
        <v>0</v>
      </c>
      <c r="V86" s="27">
        <v>12</v>
      </c>
      <c r="W86" s="17">
        <f t="shared" si="47"/>
        <v>1535</v>
      </c>
      <c r="X86" s="23">
        <f t="shared" si="48"/>
        <v>1.7542857142857142</v>
      </c>
      <c r="Y86" s="17">
        <f t="shared" si="49"/>
        <v>-170</v>
      </c>
      <c r="Z86" s="18">
        <f t="shared" si="50"/>
        <v>-0.11074918566775244</v>
      </c>
      <c r="AA86" s="19">
        <f t="shared" si="51"/>
        <v>-0.11074918566775244</v>
      </c>
      <c r="AB86" s="16">
        <v>46142</v>
      </c>
      <c r="AC86" s="16">
        <v>46506</v>
      </c>
    </row>
  </sheetData>
  <mergeCells count="4">
    <mergeCell ref="F4:P4"/>
    <mergeCell ref="Q4:U4"/>
    <mergeCell ref="B4:E4"/>
    <mergeCell ref="V4:X4"/>
  </mergeCells>
  <phoneticPr fontId="4" type="noConversion"/>
  <pageMargins left="0.7" right="0.7" top="0.75" bottom="0.75" header="0.3" footer="0.3"/>
  <pageSetup orientation="portrait" r:id="rId1"/>
  <ignoredErrors>
    <ignoredError sqref="J36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RRG-10658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Kellea Mueller</dc:creator>
  <cp:keywords/>
  <dc:description/>
  <cp:lastModifiedBy>Massimo Stoka</cp:lastModifiedBy>
  <dcterms:created xsi:type="dcterms:W3CDTF">2018-10-02T20:13:00Z</dcterms:created>
  <dcterms:modified xsi:type="dcterms:W3CDTF">2026-07-22T18:52:45Z</dcterms:modified>
  <cp:category/>
</cp:coreProperties>
</file>