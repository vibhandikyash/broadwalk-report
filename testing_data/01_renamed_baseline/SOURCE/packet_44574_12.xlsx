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gan\Desktop\"/>
    </mc:Choice>
  </mc:AlternateContent>
  <xr:revisionPtr revIDLastSave="0" documentId="8_{55AB76EA-6A6A-4ED2-9F69-DD638E52B02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nt Chart" sheetId="1" r:id="rId1"/>
    <sheet name="The Boardwalk (Yardi)" sheetId="2" r:id="rId2"/>
    <sheet name="Comp Set (HelloData)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06" i="3" l="1"/>
  <c r="K1006" i="3"/>
  <c r="M1005" i="3"/>
  <c r="K1005" i="3"/>
  <c r="M1004" i="3"/>
  <c r="K1004" i="3"/>
  <c r="M1003" i="3"/>
  <c r="K1003" i="3"/>
  <c r="M1002" i="3"/>
  <c r="K1002" i="3"/>
  <c r="M1001" i="3"/>
  <c r="K1001" i="3"/>
  <c r="M1000" i="3"/>
  <c r="K1000" i="3"/>
  <c r="M999" i="3"/>
  <c r="K999" i="3"/>
  <c r="M998" i="3"/>
  <c r="K998" i="3"/>
  <c r="M997" i="3"/>
  <c r="K997" i="3"/>
  <c r="M996" i="3"/>
  <c r="K996" i="3"/>
  <c r="M995" i="3"/>
  <c r="K995" i="3"/>
  <c r="M994" i="3"/>
  <c r="K994" i="3"/>
  <c r="M993" i="3"/>
  <c r="K993" i="3"/>
  <c r="M992" i="3"/>
  <c r="K992" i="3"/>
  <c r="M991" i="3"/>
  <c r="K991" i="3"/>
  <c r="M990" i="3"/>
  <c r="K990" i="3"/>
  <c r="M989" i="3"/>
  <c r="K989" i="3"/>
  <c r="M988" i="3"/>
  <c r="K988" i="3"/>
  <c r="M987" i="3"/>
  <c r="K987" i="3"/>
  <c r="M986" i="3"/>
  <c r="K986" i="3"/>
  <c r="M985" i="3"/>
  <c r="K985" i="3"/>
  <c r="M984" i="3"/>
  <c r="K984" i="3"/>
  <c r="M983" i="3"/>
  <c r="K983" i="3"/>
  <c r="M982" i="3"/>
  <c r="K982" i="3"/>
  <c r="M981" i="3"/>
  <c r="K981" i="3"/>
  <c r="M980" i="3"/>
  <c r="K980" i="3"/>
  <c r="M979" i="3"/>
  <c r="K979" i="3"/>
  <c r="M978" i="3"/>
  <c r="K978" i="3"/>
  <c r="M977" i="3"/>
  <c r="K977" i="3"/>
  <c r="M976" i="3"/>
  <c r="K976" i="3"/>
  <c r="M975" i="3"/>
  <c r="K975" i="3"/>
  <c r="M974" i="3"/>
  <c r="K974" i="3"/>
  <c r="M973" i="3"/>
  <c r="K973" i="3"/>
  <c r="M972" i="3"/>
  <c r="K972" i="3"/>
  <c r="M971" i="3"/>
  <c r="K971" i="3"/>
  <c r="M970" i="3"/>
  <c r="K970" i="3"/>
  <c r="M969" i="3"/>
  <c r="K969" i="3"/>
  <c r="M968" i="3"/>
  <c r="K968" i="3"/>
  <c r="M967" i="3"/>
  <c r="K967" i="3"/>
  <c r="M966" i="3"/>
  <c r="K966" i="3"/>
  <c r="M965" i="3"/>
  <c r="K965" i="3"/>
  <c r="M964" i="3"/>
  <c r="K964" i="3"/>
  <c r="M963" i="3"/>
  <c r="K963" i="3"/>
  <c r="M962" i="3"/>
  <c r="K962" i="3"/>
  <c r="M961" i="3"/>
  <c r="K961" i="3"/>
  <c r="M960" i="3"/>
  <c r="K960" i="3"/>
  <c r="M959" i="3"/>
  <c r="K959" i="3"/>
  <c r="M958" i="3"/>
  <c r="K958" i="3"/>
  <c r="M957" i="3"/>
  <c r="K957" i="3"/>
  <c r="M956" i="3"/>
  <c r="K956" i="3"/>
  <c r="M955" i="3"/>
  <c r="K955" i="3"/>
  <c r="M954" i="3"/>
  <c r="K954" i="3"/>
  <c r="M953" i="3"/>
  <c r="K953" i="3"/>
  <c r="M952" i="3"/>
  <c r="K952" i="3"/>
  <c r="M951" i="3"/>
  <c r="K951" i="3"/>
  <c r="M950" i="3"/>
  <c r="K950" i="3"/>
  <c r="M949" i="3"/>
  <c r="K949" i="3"/>
  <c r="M948" i="3"/>
  <c r="K948" i="3"/>
  <c r="M947" i="3"/>
  <c r="K947" i="3"/>
  <c r="M946" i="3"/>
  <c r="K946" i="3"/>
  <c r="M945" i="3"/>
  <c r="K945" i="3"/>
  <c r="M944" i="3"/>
  <c r="K944" i="3"/>
  <c r="M943" i="3"/>
  <c r="K943" i="3"/>
  <c r="M942" i="3"/>
  <c r="K942" i="3"/>
  <c r="M941" i="3"/>
  <c r="K941" i="3"/>
  <c r="M940" i="3"/>
  <c r="K940" i="3"/>
  <c r="M939" i="3"/>
  <c r="K939" i="3"/>
  <c r="M938" i="3"/>
  <c r="K938" i="3"/>
  <c r="M937" i="3"/>
  <c r="K937" i="3"/>
  <c r="M936" i="3"/>
  <c r="K936" i="3"/>
  <c r="M935" i="3"/>
  <c r="K935" i="3"/>
  <c r="M934" i="3"/>
  <c r="K934" i="3"/>
  <c r="M933" i="3"/>
  <c r="K933" i="3"/>
  <c r="M932" i="3"/>
  <c r="K932" i="3"/>
  <c r="M931" i="3"/>
  <c r="K931" i="3"/>
  <c r="M930" i="3"/>
  <c r="K930" i="3"/>
  <c r="M929" i="3"/>
  <c r="K929" i="3"/>
  <c r="M928" i="3"/>
  <c r="K928" i="3"/>
  <c r="M927" i="3"/>
  <c r="K927" i="3"/>
  <c r="M926" i="3"/>
  <c r="K926" i="3"/>
  <c r="M925" i="3"/>
  <c r="K925" i="3"/>
  <c r="M924" i="3"/>
  <c r="K924" i="3"/>
  <c r="M923" i="3"/>
  <c r="K923" i="3"/>
  <c r="M922" i="3"/>
  <c r="K922" i="3"/>
  <c r="M921" i="3"/>
  <c r="K921" i="3"/>
  <c r="M920" i="3"/>
  <c r="K920" i="3"/>
  <c r="M919" i="3"/>
  <c r="K919" i="3"/>
  <c r="M918" i="3"/>
  <c r="K918" i="3"/>
  <c r="M917" i="3"/>
  <c r="K917" i="3"/>
  <c r="M916" i="3"/>
  <c r="K916" i="3"/>
  <c r="M915" i="3"/>
  <c r="K915" i="3"/>
  <c r="M914" i="3"/>
  <c r="K914" i="3"/>
  <c r="M913" i="3"/>
  <c r="K913" i="3"/>
  <c r="M912" i="3"/>
  <c r="K912" i="3"/>
  <c r="M911" i="3"/>
  <c r="K911" i="3"/>
  <c r="M910" i="3"/>
  <c r="K910" i="3"/>
  <c r="M909" i="3"/>
  <c r="K909" i="3"/>
  <c r="M908" i="3"/>
  <c r="K908" i="3"/>
  <c r="M907" i="3"/>
  <c r="K907" i="3"/>
  <c r="M906" i="3"/>
  <c r="K906" i="3"/>
  <c r="M905" i="3"/>
  <c r="K905" i="3"/>
  <c r="M904" i="3"/>
  <c r="K904" i="3"/>
  <c r="M903" i="3"/>
  <c r="K903" i="3"/>
  <c r="M902" i="3"/>
  <c r="K902" i="3"/>
  <c r="M901" i="3"/>
  <c r="K901" i="3"/>
  <c r="M900" i="3"/>
  <c r="K900" i="3"/>
  <c r="M899" i="3"/>
  <c r="K899" i="3"/>
  <c r="M898" i="3"/>
  <c r="K898" i="3"/>
  <c r="M897" i="3"/>
  <c r="K897" i="3"/>
  <c r="M896" i="3"/>
  <c r="K896" i="3"/>
  <c r="M895" i="3"/>
  <c r="K895" i="3"/>
  <c r="M894" i="3"/>
  <c r="K894" i="3"/>
  <c r="M893" i="3"/>
  <c r="K893" i="3"/>
  <c r="M892" i="3"/>
  <c r="K892" i="3"/>
  <c r="M891" i="3"/>
  <c r="K891" i="3"/>
  <c r="M890" i="3"/>
  <c r="K890" i="3"/>
  <c r="M889" i="3"/>
  <c r="K889" i="3"/>
  <c r="M888" i="3"/>
  <c r="K888" i="3"/>
  <c r="M887" i="3"/>
  <c r="K887" i="3"/>
  <c r="M886" i="3"/>
  <c r="K886" i="3"/>
  <c r="M885" i="3"/>
  <c r="K885" i="3"/>
  <c r="M884" i="3"/>
  <c r="K884" i="3"/>
  <c r="M883" i="3"/>
  <c r="K883" i="3"/>
  <c r="M882" i="3"/>
  <c r="K882" i="3"/>
  <c r="M881" i="3"/>
  <c r="K881" i="3"/>
  <c r="M880" i="3"/>
  <c r="K880" i="3"/>
  <c r="M879" i="3"/>
  <c r="K879" i="3"/>
  <c r="M878" i="3"/>
  <c r="K878" i="3"/>
  <c r="M877" i="3"/>
  <c r="K877" i="3"/>
  <c r="M876" i="3"/>
  <c r="K876" i="3"/>
  <c r="M875" i="3"/>
  <c r="K875" i="3"/>
  <c r="M874" i="3"/>
  <c r="K874" i="3"/>
  <c r="M873" i="3"/>
  <c r="K873" i="3"/>
  <c r="M872" i="3"/>
  <c r="K872" i="3"/>
  <c r="M871" i="3"/>
  <c r="K871" i="3"/>
  <c r="M870" i="3"/>
  <c r="K870" i="3"/>
  <c r="M869" i="3"/>
  <c r="K869" i="3"/>
  <c r="M868" i="3"/>
  <c r="K868" i="3"/>
  <c r="M867" i="3"/>
  <c r="K867" i="3"/>
  <c r="M866" i="3"/>
  <c r="K866" i="3"/>
  <c r="M865" i="3"/>
  <c r="K865" i="3"/>
  <c r="M864" i="3"/>
  <c r="K864" i="3"/>
  <c r="M863" i="3"/>
  <c r="K863" i="3"/>
  <c r="M862" i="3"/>
  <c r="K862" i="3"/>
  <c r="M861" i="3"/>
  <c r="K861" i="3"/>
  <c r="M860" i="3"/>
  <c r="K860" i="3"/>
  <c r="M859" i="3"/>
  <c r="K859" i="3"/>
  <c r="M858" i="3"/>
  <c r="K858" i="3"/>
  <c r="M857" i="3"/>
  <c r="K857" i="3"/>
  <c r="M856" i="3"/>
  <c r="K856" i="3"/>
  <c r="M855" i="3"/>
  <c r="K855" i="3"/>
  <c r="M854" i="3"/>
  <c r="K854" i="3"/>
  <c r="M853" i="3"/>
  <c r="K853" i="3"/>
  <c r="M852" i="3"/>
  <c r="K852" i="3"/>
  <c r="M851" i="3"/>
  <c r="K851" i="3"/>
  <c r="M850" i="3"/>
  <c r="K850" i="3"/>
  <c r="M849" i="3"/>
  <c r="K849" i="3"/>
  <c r="M848" i="3"/>
  <c r="K848" i="3"/>
  <c r="M847" i="3"/>
  <c r="K847" i="3"/>
  <c r="M846" i="3"/>
  <c r="K846" i="3"/>
  <c r="M845" i="3"/>
  <c r="K845" i="3"/>
  <c r="M844" i="3"/>
  <c r="K844" i="3"/>
  <c r="M843" i="3"/>
  <c r="K843" i="3"/>
  <c r="M842" i="3"/>
  <c r="K842" i="3"/>
  <c r="M841" i="3"/>
  <c r="K841" i="3"/>
  <c r="M840" i="3"/>
  <c r="K840" i="3"/>
  <c r="M839" i="3"/>
  <c r="K839" i="3"/>
  <c r="M838" i="3"/>
  <c r="K838" i="3"/>
  <c r="M837" i="3"/>
  <c r="K837" i="3"/>
  <c r="M836" i="3"/>
  <c r="K836" i="3"/>
  <c r="M835" i="3"/>
  <c r="K835" i="3"/>
  <c r="M834" i="3"/>
  <c r="K834" i="3"/>
  <c r="M833" i="3"/>
  <c r="K833" i="3"/>
  <c r="M832" i="3"/>
  <c r="K832" i="3"/>
  <c r="M831" i="3"/>
  <c r="K831" i="3"/>
  <c r="M830" i="3"/>
  <c r="K830" i="3"/>
  <c r="M829" i="3"/>
  <c r="K829" i="3"/>
  <c r="M828" i="3"/>
  <c r="K828" i="3"/>
  <c r="M827" i="3"/>
  <c r="K827" i="3"/>
  <c r="M826" i="3"/>
  <c r="K826" i="3"/>
  <c r="M825" i="3"/>
  <c r="K825" i="3"/>
  <c r="M824" i="3"/>
  <c r="K824" i="3"/>
  <c r="M823" i="3"/>
  <c r="K823" i="3"/>
  <c r="M822" i="3"/>
  <c r="K822" i="3"/>
  <c r="M821" i="3"/>
  <c r="K821" i="3"/>
  <c r="M820" i="3"/>
  <c r="K820" i="3"/>
  <c r="M819" i="3"/>
  <c r="K819" i="3"/>
  <c r="M818" i="3"/>
  <c r="K818" i="3"/>
  <c r="M817" i="3"/>
  <c r="K817" i="3"/>
  <c r="M816" i="3"/>
  <c r="K816" i="3"/>
  <c r="M815" i="3"/>
  <c r="K815" i="3"/>
  <c r="M814" i="3"/>
  <c r="K814" i="3"/>
  <c r="M813" i="3"/>
  <c r="K813" i="3"/>
  <c r="M812" i="3"/>
  <c r="K812" i="3"/>
  <c r="M811" i="3"/>
  <c r="K811" i="3"/>
  <c r="M810" i="3"/>
  <c r="K810" i="3"/>
  <c r="M809" i="3"/>
  <c r="K809" i="3"/>
  <c r="M808" i="3"/>
  <c r="K808" i="3"/>
  <c r="M807" i="3"/>
  <c r="K807" i="3"/>
  <c r="M806" i="3"/>
  <c r="K806" i="3"/>
  <c r="M805" i="3"/>
  <c r="K805" i="3"/>
  <c r="M804" i="3"/>
  <c r="K804" i="3"/>
  <c r="M803" i="3"/>
  <c r="K803" i="3"/>
  <c r="M802" i="3"/>
  <c r="K802" i="3"/>
  <c r="M801" i="3"/>
  <c r="K801" i="3"/>
  <c r="M800" i="3"/>
  <c r="K800" i="3"/>
  <c r="M799" i="3"/>
  <c r="K799" i="3"/>
  <c r="M798" i="3"/>
  <c r="K798" i="3"/>
  <c r="M797" i="3"/>
  <c r="K797" i="3"/>
  <c r="M796" i="3"/>
  <c r="K796" i="3"/>
  <c r="M795" i="3"/>
  <c r="K795" i="3"/>
  <c r="M794" i="3"/>
  <c r="K794" i="3"/>
  <c r="M793" i="3"/>
  <c r="K793" i="3"/>
  <c r="M792" i="3"/>
  <c r="K792" i="3"/>
  <c r="M791" i="3"/>
  <c r="K791" i="3"/>
  <c r="M790" i="3"/>
  <c r="K790" i="3"/>
  <c r="M789" i="3"/>
  <c r="K789" i="3"/>
  <c r="M788" i="3"/>
  <c r="K788" i="3"/>
  <c r="M787" i="3"/>
  <c r="K787" i="3"/>
  <c r="M786" i="3"/>
  <c r="K786" i="3"/>
  <c r="M785" i="3"/>
  <c r="K785" i="3"/>
  <c r="M784" i="3"/>
  <c r="K784" i="3"/>
  <c r="M783" i="3"/>
  <c r="K783" i="3"/>
  <c r="M782" i="3"/>
  <c r="K782" i="3"/>
  <c r="M781" i="3"/>
  <c r="K781" i="3"/>
  <c r="M780" i="3"/>
  <c r="K780" i="3"/>
  <c r="M779" i="3"/>
  <c r="K779" i="3"/>
  <c r="M778" i="3"/>
  <c r="K778" i="3"/>
  <c r="M777" i="3"/>
  <c r="K777" i="3"/>
  <c r="M776" i="3"/>
  <c r="K776" i="3"/>
  <c r="M775" i="3"/>
  <c r="K775" i="3"/>
  <c r="M774" i="3"/>
  <c r="K774" i="3"/>
  <c r="M773" i="3"/>
  <c r="K773" i="3"/>
  <c r="M772" i="3"/>
  <c r="K772" i="3"/>
  <c r="M771" i="3"/>
  <c r="K771" i="3"/>
  <c r="M770" i="3"/>
  <c r="K770" i="3"/>
  <c r="M769" i="3"/>
  <c r="K769" i="3"/>
  <c r="M768" i="3"/>
  <c r="K768" i="3"/>
  <c r="M767" i="3"/>
  <c r="K767" i="3"/>
  <c r="M766" i="3"/>
  <c r="K766" i="3"/>
  <c r="M765" i="3"/>
  <c r="K765" i="3"/>
  <c r="M764" i="3"/>
  <c r="K764" i="3"/>
  <c r="M763" i="3"/>
  <c r="K763" i="3"/>
  <c r="M762" i="3"/>
  <c r="K762" i="3"/>
  <c r="M761" i="3"/>
  <c r="K761" i="3"/>
  <c r="M760" i="3"/>
  <c r="K760" i="3"/>
  <c r="M759" i="3"/>
  <c r="K759" i="3"/>
  <c r="M758" i="3"/>
  <c r="K758" i="3"/>
  <c r="M757" i="3"/>
  <c r="K757" i="3"/>
  <c r="M756" i="3"/>
  <c r="K756" i="3"/>
  <c r="M755" i="3"/>
  <c r="K755" i="3"/>
  <c r="M754" i="3"/>
  <c r="K754" i="3"/>
  <c r="M753" i="3"/>
  <c r="K753" i="3"/>
  <c r="M752" i="3"/>
  <c r="K752" i="3"/>
  <c r="M751" i="3"/>
  <c r="K751" i="3"/>
  <c r="M750" i="3"/>
  <c r="K750" i="3"/>
  <c r="M749" i="3"/>
  <c r="K749" i="3"/>
  <c r="M748" i="3"/>
  <c r="K748" i="3"/>
  <c r="M747" i="3"/>
  <c r="K747" i="3"/>
  <c r="M746" i="3"/>
  <c r="K746" i="3"/>
  <c r="M745" i="3"/>
  <c r="K745" i="3"/>
  <c r="M744" i="3"/>
  <c r="K744" i="3"/>
  <c r="M743" i="3"/>
  <c r="K743" i="3"/>
  <c r="M742" i="3"/>
  <c r="K742" i="3"/>
  <c r="M741" i="3"/>
  <c r="K741" i="3"/>
  <c r="M740" i="3"/>
  <c r="K740" i="3"/>
  <c r="M739" i="3"/>
  <c r="K739" i="3"/>
  <c r="M738" i="3"/>
  <c r="K738" i="3"/>
  <c r="M737" i="3"/>
  <c r="K737" i="3"/>
  <c r="M736" i="3"/>
  <c r="K736" i="3"/>
  <c r="M735" i="3"/>
  <c r="K735" i="3"/>
  <c r="M734" i="3"/>
  <c r="K734" i="3"/>
  <c r="M733" i="3"/>
  <c r="K733" i="3"/>
  <c r="M732" i="3"/>
  <c r="K732" i="3"/>
  <c r="M731" i="3"/>
  <c r="K731" i="3"/>
  <c r="M730" i="3"/>
  <c r="K730" i="3"/>
  <c r="M729" i="3"/>
  <c r="K729" i="3"/>
  <c r="M728" i="3"/>
  <c r="K728" i="3"/>
  <c r="M727" i="3"/>
  <c r="K727" i="3"/>
  <c r="M726" i="3"/>
  <c r="K726" i="3"/>
  <c r="M725" i="3"/>
  <c r="K725" i="3"/>
  <c r="M724" i="3"/>
  <c r="K724" i="3"/>
  <c r="M723" i="3"/>
  <c r="K723" i="3"/>
  <c r="M722" i="3"/>
  <c r="K722" i="3"/>
  <c r="M721" i="3"/>
  <c r="K721" i="3"/>
  <c r="M720" i="3"/>
  <c r="K720" i="3"/>
  <c r="M719" i="3"/>
  <c r="K719" i="3"/>
  <c r="M718" i="3"/>
  <c r="K718" i="3"/>
  <c r="M717" i="3"/>
  <c r="K717" i="3"/>
  <c r="M716" i="3"/>
  <c r="K716" i="3"/>
  <c r="M715" i="3"/>
  <c r="K715" i="3"/>
  <c r="M714" i="3"/>
  <c r="K714" i="3"/>
  <c r="M713" i="3"/>
  <c r="K713" i="3"/>
  <c r="M712" i="3"/>
  <c r="K712" i="3"/>
  <c r="M711" i="3"/>
  <c r="K711" i="3"/>
  <c r="M710" i="3"/>
  <c r="K710" i="3"/>
  <c r="M709" i="3"/>
  <c r="K709" i="3"/>
  <c r="M708" i="3"/>
  <c r="K708" i="3"/>
  <c r="M707" i="3"/>
  <c r="K707" i="3"/>
  <c r="M706" i="3"/>
  <c r="K706" i="3"/>
  <c r="M705" i="3"/>
  <c r="K705" i="3"/>
  <c r="M704" i="3"/>
  <c r="K704" i="3"/>
  <c r="M703" i="3"/>
  <c r="K703" i="3"/>
  <c r="M702" i="3"/>
  <c r="K702" i="3"/>
  <c r="M701" i="3"/>
  <c r="K701" i="3"/>
  <c r="M700" i="3"/>
  <c r="K700" i="3"/>
  <c r="M699" i="3"/>
  <c r="K699" i="3"/>
  <c r="M698" i="3"/>
  <c r="K698" i="3"/>
  <c r="M697" i="3"/>
  <c r="K697" i="3"/>
  <c r="M696" i="3"/>
  <c r="K696" i="3"/>
  <c r="M695" i="3"/>
  <c r="K695" i="3"/>
  <c r="M694" i="3"/>
  <c r="K694" i="3"/>
  <c r="M693" i="3"/>
  <c r="K693" i="3"/>
  <c r="M692" i="3"/>
  <c r="K692" i="3"/>
  <c r="M691" i="3"/>
  <c r="K691" i="3"/>
  <c r="M690" i="3"/>
  <c r="K690" i="3"/>
  <c r="M689" i="3"/>
  <c r="K689" i="3"/>
  <c r="M688" i="3"/>
  <c r="K688" i="3"/>
  <c r="M687" i="3"/>
  <c r="K687" i="3"/>
  <c r="M686" i="3"/>
  <c r="K686" i="3"/>
  <c r="M685" i="3"/>
  <c r="K685" i="3"/>
  <c r="M684" i="3"/>
  <c r="K684" i="3"/>
  <c r="M683" i="3"/>
  <c r="K683" i="3"/>
  <c r="M682" i="3"/>
  <c r="K682" i="3"/>
  <c r="M681" i="3"/>
  <c r="K681" i="3"/>
  <c r="M680" i="3"/>
  <c r="K680" i="3"/>
  <c r="M679" i="3"/>
  <c r="K679" i="3"/>
  <c r="M678" i="3"/>
  <c r="K678" i="3"/>
  <c r="M677" i="3"/>
  <c r="K677" i="3"/>
  <c r="M676" i="3"/>
  <c r="K676" i="3"/>
  <c r="M675" i="3"/>
  <c r="K675" i="3"/>
  <c r="M674" i="3"/>
  <c r="K674" i="3"/>
  <c r="M673" i="3"/>
  <c r="K673" i="3"/>
  <c r="M672" i="3"/>
  <c r="K672" i="3"/>
  <c r="M671" i="3"/>
  <c r="K671" i="3"/>
  <c r="M670" i="3"/>
  <c r="K670" i="3"/>
  <c r="M669" i="3"/>
  <c r="K669" i="3"/>
  <c r="M668" i="3"/>
  <c r="K668" i="3"/>
  <c r="M667" i="3"/>
  <c r="K667" i="3"/>
  <c r="M666" i="3"/>
  <c r="K666" i="3"/>
  <c r="M665" i="3"/>
  <c r="K665" i="3"/>
  <c r="M664" i="3"/>
  <c r="K664" i="3"/>
  <c r="M663" i="3"/>
  <c r="K663" i="3"/>
  <c r="M662" i="3"/>
  <c r="K662" i="3"/>
  <c r="M661" i="3"/>
  <c r="K661" i="3"/>
  <c r="M660" i="3"/>
  <c r="K660" i="3"/>
  <c r="M659" i="3"/>
  <c r="K659" i="3"/>
  <c r="M658" i="3"/>
  <c r="K658" i="3"/>
  <c r="M657" i="3"/>
  <c r="K657" i="3"/>
  <c r="M656" i="3"/>
  <c r="K656" i="3"/>
  <c r="M655" i="3"/>
  <c r="K655" i="3"/>
  <c r="M654" i="3"/>
  <c r="K654" i="3"/>
  <c r="M653" i="3"/>
  <c r="K653" i="3"/>
  <c r="M652" i="3"/>
  <c r="K652" i="3"/>
  <c r="M651" i="3"/>
  <c r="K651" i="3"/>
  <c r="M650" i="3"/>
  <c r="K650" i="3"/>
  <c r="M649" i="3"/>
  <c r="K649" i="3"/>
  <c r="M648" i="3"/>
  <c r="K648" i="3"/>
  <c r="M647" i="3"/>
  <c r="K647" i="3"/>
  <c r="M646" i="3"/>
  <c r="K646" i="3"/>
  <c r="M645" i="3"/>
  <c r="K645" i="3"/>
  <c r="M644" i="3"/>
  <c r="K644" i="3"/>
  <c r="M643" i="3"/>
  <c r="K643" i="3"/>
  <c r="M642" i="3"/>
  <c r="K642" i="3"/>
  <c r="M641" i="3"/>
  <c r="K641" i="3"/>
  <c r="M640" i="3"/>
  <c r="K640" i="3"/>
  <c r="M639" i="3"/>
  <c r="K639" i="3"/>
  <c r="M638" i="3"/>
  <c r="K638" i="3"/>
  <c r="M637" i="3"/>
  <c r="K637" i="3"/>
  <c r="M636" i="3"/>
  <c r="K636" i="3"/>
  <c r="M635" i="3"/>
  <c r="K635" i="3"/>
  <c r="M634" i="3"/>
  <c r="K634" i="3"/>
  <c r="M633" i="3"/>
  <c r="K633" i="3"/>
  <c r="M632" i="3"/>
  <c r="K632" i="3"/>
  <c r="M631" i="3"/>
  <c r="K631" i="3"/>
  <c r="M630" i="3"/>
  <c r="K630" i="3"/>
  <c r="M629" i="3"/>
  <c r="K629" i="3"/>
  <c r="M628" i="3"/>
  <c r="K628" i="3"/>
  <c r="M627" i="3"/>
  <c r="K627" i="3"/>
  <c r="M626" i="3"/>
  <c r="K626" i="3"/>
  <c r="M625" i="3"/>
  <c r="K625" i="3"/>
  <c r="M624" i="3"/>
  <c r="K624" i="3"/>
  <c r="M623" i="3"/>
  <c r="K623" i="3"/>
  <c r="M622" i="3"/>
  <c r="K622" i="3"/>
  <c r="M621" i="3"/>
  <c r="K621" i="3"/>
  <c r="M620" i="3"/>
  <c r="K620" i="3"/>
  <c r="M619" i="3"/>
  <c r="K619" i="3"/>
  <c r="M618" i="3"/>
  <c r="K618" i="3"/>
  <c r="M617" i="3"/>
  <c r="K617" i="3"/>
  <c r="M616" i="3"/>
  <c r="K616" i="3"/>
  <c r="M615" i="3"/>
  <c r="K615" i="3"/>
  <c r="M614" i="3"/>
  <c r="K614" i="3"/>
  <c r="M613" i="3"/>
  <c r="K613" i="3"/>
  <c r="M612" i="3"/>
  <c r="K612" i="3"/>
  <c r="M611" i="3"/>
  <c r="K611" i="3"/>
  <c r="M610" i="3"/>
  <c r="K610" i="3"/>
  <c r="M609" i="3"/>
  <c r="K609" i="3"/>
  <c r="M608" i="3"/>
  <c r="K608" i="3"/>
  <c r="M607" i="3"/>
  <c r="K607" i="3"/>
  <c r="M606" i="3"/>
  <c r="K606" i="3"/>
  <c r="M605" i="3"/>
  <c r="K605" i="3"/>
  <c r="M604" i="3"/>
  <c r="K604" i="3"/>
  <c r="M603" i="3"/>
  <c r="K603" i="3"/>
  <c r="M602" i="3"/>
  <c r="K602" i="3"/>
  <c r="M601" i="3"/>
  <c r="K601" i="3"/>
  <c r="M600" i="3"/>
  <c r="K600" i="3"/>
  <c r="M599" i="3"/>
  <c r="K599" i="3"/>
  <c r="M598" i="3"/>
  <c r="K598" i="3"/>
  <c r="M597" i="3"/>
  <c r="K597" i="3"/>
  <c r="M596" i="3"/>
  <c r="K596" i="3"/>
  <c r="M595" i="3"/>
  <c r="K595" i="3"/>
  <c r="M594" i="3"/>
  <c r="K594" i="3"/>
  <c r="M593" i="3"/>
  <c r="K593" i="3"/>
  <c r="M592" i="3"/>
  <c r="K592" i="3"/>
  <c r="M591" i="3"/>
  <c r="K591" i="3"/>
  <c r="M590" i="3"/>
  <c r="K590" i="3"/>
  <c r="M589" i="3"/>
  <c r="K589" i="3"/>
  <c r="M588" i="3"/>
  <c r="K588" i="3"/>
  <c r="M587" i="3"/>
  <c r="K587" i="3"/>
  <c r="M586" i="3"/>
  <c r="K586" i="3"/>
  <c r="M585" i="3"/>
  <c r="K585" i="3"/>
  <c r="M584" i="3"/>
  <c r="K584" i="3"/>
  <c r="M583" i="3"/>
  <c r="K583" i="3"/>
  <c r="M582" i="3"/>
  <c r="K582" i="3"/>
  <c r="M581" i="3"/>
  <c r="K581" i="3"/>
  <c r="M580" i="3"/>
  <c r="K580" i="3"/>
  <c r="M579" i="3"/>
  <c r="K579" i="3"/>
  <c r="M578" i="3"/>
  <c r="K578" i="3"/>
  <c r="M577" i="3"/>
  <c r="K577" i="3"/>
  <c r="M576" i="3"/>
  <c r="K576" i="3"/>
  <c r="M575" i="3"/>
  <c r="K575" i="3"/>
  <c r="M574" i="3"/>
  <c r="K574" i="3"/>
  <c r="M573" i="3"/>
  <c r="K573" i="3"/>
  <c r="M572" i="3"/>
  <c r="K572" i="3"/>
  <c r="M571" i="3"/>
  <c r="K571" i="3"/>
  <c r="M570" i="3"/>
  <c r="K570" i="3"/>
  <c r="M569" i="3"/>
  <c r="K569" i="3"/>
  <c r="M568" i="3"/>
  <c r="K568" i="3"/>
  <c r="M567" i="3"/>
  <c r="K567" i="3"/>
  <c r="M566" i="3"/>
  <c r="K566" i="3"/>
  <c r="M565" i="3"/>
  <c r="K565" i="3"/>
  <c r="M564" i="3"/>
  <c r="K564" i="3"/>
  <c r="M563" i="3"/>
  <c r="K563" i="3"/>
  <c r="M562" i="3"/>
  <c r="K562" i="3"/>
  <c r="M561" i="3"/>
  <c r="K561" i="3"/>
  <c r="M560" i="3"/>
  <c r="K560" i="3"/>
  <c r="M559" i="3"/>
  <c r="K559" i="3"/>
  <c r="M558" i="3"/>
  <c r="K558" i="3"/>
  <c r="M557" i="3"/>
  <c r="K557" i="3"/>
  <c r="M556" i="3"/>
  <c r="K556" i="3"/>
  <c r="M555" i="3"/>
  <c r="K555" i="3"/>
  <c r="M554" i="3"/>
  <c r="K554" i="3"/>
  <c r="M553" i="3"/>
  <c r="K553" i="3"/>
  <c r="M552" i="3"/>
  <c r="K552" i="3"/>
  <c r="M551" i="3"/>
  <c r="K551" i="3"/>
  <c r="M550" i="3"/>
  <c r="K550" i="3"/>
  <c r="M549" i="3"/>
  <c r="K549" i="3"/>
  <c r="M548" i="3"/>
  <c r="K548" i="3"/>
  <c r="M547" i="3"/>
  <c r="K547" i="3"/>
  <c r="M546" i="3"/>
  <c r="K546" i="3"/>
  <c r="M545" i="3"/>
  <c r="K545" i="3"/>
  <c r="M544" i="3"/>
  <c r="K544" i="3"/>
  <c r="M543" i="3"/>
  <c r="K543" i="3"/>
  <c r="M542" i="3"/>
  <c r="K542" i="3"/>
  <c r="M541" i="3"/>
  <c r="K541" i="3"/>
  <c r="M540" i="3"/>
  <c r="K540" i="3"/>
  <c r="M539" i="3"/>
  <c r="K539" i="3"/>
  <c r="M538" i="3"/>
  <c r="K538" i="3"/>
  <c r="M537" i="3"/>
  <c r="K537" i="3"/>
  <c r="M536" i="3"/>
  <c r="K536" i="3"/>
  <c r="M535" i="3"/>
  <c r="K535" i="3"/>
  <c r="M534" i="3"/>
  <c r="K534" i="3"/>
  <c r="M533" i="3"/>
  <c r="K533" i="3"/>
  <c r="M532" i="3"/>
  <c r="K532" i="3"/>
  <c r="M531" i="3"/>
  <c r="K531" i="3"/>
  <c r="M530" i="3"/>
  <c r="K530" i="3"/>
  <c r="M529" i="3"/>
  <c r="K529" i="3"/>
  <c r="M528" i="3"/>
  <c r="K528" i="3"/>
  <c r="M527" i="3"/>
  <c r="K527" i="3"/>
  <c r="M526" i="3"/>
  <c r="K526" i="3"/>
  <c r="M525" i="3"/>
  <c r="K525" i="3"/>
  <c r="M524" i="3"/>
  <c r="K524" i="3"/>
  <c r="M523" i="3"/>
  <c r="K523" i="3"/>
  <c r="M522" i="3"/>
  <c r="K522" i="3"/>
  <c r="M521" i="3"/>
  <c r="K521" i="3"/>
  <c r="M520" i="3"/>
  <c r="K520" i="3"/>
  <c r="M519" i="3"/>
  <c r="K519" i="3"/>
  <c r="M518" i="3"/>
  <c r="K518" i="3"/>
  <c r="M517" i="3"/>
  <c r="K517" i="3"/>
  <c r="M516" i="3"/>
  <c r="K516" i="3"/>
  <c r="M515" i="3"/>
  <c r="K515" i="3"/>
  <c r="M514" i="3"/>
  <c r="K514" i="3"/>
  <c r="M513" i="3"/>
  <c r="K513" i="3"/>
  <c r="M512" i="3"/>
  <c r="K512" i="3"/>
  <c r="M511" i="3"/>
  <c r="K511" i="3"/>
  <c r="M510" i="3"/>
  <c r="K510" i="3"/>
  <c r="M509" i="3"/>
  <c r="K509" i="3"/>
  <c r="M508" i="3"/>
  <c r="K508" i="3"/>
  <c r="M507" i="3"/>
  <c r="K507" i="3"/>
  <c r="M506" i="3"/>
  <c r="K506" i="3"/>
  <c r="M505" i="3"/>
  <c r="K505" i="3"/>
  <c r="M504" i="3"/>
  <c r="K504" i="3"/>
  <c r="M503" i="3"/>
  <c r="K503" i="3"/>
  <c r="M502" i="3"/>
  <c r="K502" i="3"/>
  <c r="M501" i="3"/>
  <c r="K501" i="3"/>
  <c r="M500" i="3"/>
  <c r="K500" i="3"/>
  <c r="M499" i="3"/>
  <c r="K499" i="3"/>
  <c r="M498" i="3"/>
  <c r="K498" i="3"/>
  <c r="M497" i="3"/>
  <c r="K497" i="3"/>
  <c r="M496" i="3"/>
  <c r="K496" i="3"/>
  <c r="M495" i="3"/>
  <c r="K495" i="3"/>
  <c r="M494" i="3"/>
  <c r="K494" i="3"/>
  <c r="M493" i="3"/>
  <c r="K493" i="3"/>
  <c r="M492" i="3"/>
  <c r="K492" i="3"/>
  <c r="M491" i="3"/>
  <c r="K491" i="3"/>
  <c r="M490" i="3"/>
  <c r="K490" i="3"/>
  <c r="M489" i="3"/>
  <c r="K489" i="3"/>
  <c r="M488" i="3"/>
  <c r="K488" i="3"/>
  <c r="M487" i="3"/>
  <c r="K487" i="3"/>
  <c r="M486" i="3"/>
  <c r="K486" i="3"/>
  <c r="M485" i="3"/>
  <c r="K485" i="3"/>
  <c r="M484" i="3"/>
  <c r="K484" i="3"/>
  <c r="M483" i="3"/>
  <c r="K483" i="3"/>
  <c r="M482" i="3"/>
  <c r="K482" i="3"/>
  <c r="M481" i="3"/>
  <c r="K481" i="3"/>
  <c r="M480" i="3"/>
  <c r="K480" i="3"/>
  <c r="M479" i="3"/>
  <c r="K479" i="3"/>
  <c r="M478" i="3"/>
  <c r="K478" i="3"/>
  <c r="M477" i="3"/>
  <c r="K477" i="3"/>
  <c r="M476" i="3"/>
  <c r="K476" i="3"/>
  <c r="M475" i="3"/>
  <c r="K475" i="3"/>
  <c r="M474" i="3"/>
  <c r="K474" i="3"/>
  <c r="M473" i="3"/>
  <c r="K473" i="3"/>
  <c r="M472" i="3"/>
  <c r="K472" i="3"/>
  <c r="M471" i="3"/>
  <c r="K471" i="3"/>
  <c r="M470" i="3"/>
  <c r="K470" i="3"/>
  <c r="M469" i="3"/>
  <c r="K469" i="3"/>
  <c r="M468" i="3"/>
  <c r="K468" i="3"/>
  <c r="M467" i="3"/>
  <c r="K467" i="3"/>
  <c r="M466" i="3"/>
  <c r="K466" i="3"/>
  <c r="M465" i="3"/>
  <c r="K465" i="3"/>
  <c r="M464" i="3"/>
  <c r="K464" i="3"/>
  <c r="M463" i="3"/>
  <c r="K463" i="3"/>
  <c r="M462" i="3"/>
  <c r="K462" i="3"/>
  <c r="M461" i="3"/>
  <c r="K461" i="3"/>
  <c r="M460" i="3"/>
  <c r="K460" i="3"/>
  <c r="M459" i="3"/>
  <c r="K459" i="3"/>
  <c r="M458" i="3"/>
  <c r="K458" i="3"/>
  <c r="M457" i="3"/>
  <c r="K457" i="3"/>
  <c r="M456" i="3"/>
  <c r="K456" i="3"/>
  <c r="M455" i="3"/>
  <c r="K455" i="3"/>
  <c r="M454" i="3"/>
  <c r="K454" i="3"/>
  <c r="M453" i="3"/>
  <c r="K453" i="3"/>
  <c r="M452" i="3"/>
  <c r="K452" i="3"/>
  <c r="M451" i="3"/>
  <c r="K451" i="3"/>
  <c r="M450" i="3"/>
  <c r="K450" i="3"/>
  <c r="M449" i="3"/>
  <c r="K449" i="3"/>
  <c r="M448" i="3"/>
  <c r="K448" i="3"/>
  <c r="M447" i="3"/>
  <c r="K447" i="3"/>
  <c r="M446" i="3"/>
  <c r="K446" i="3"/>
  <c r="M445" i="3"/>
  <c r="K445" i="3"/>
  <c r="M444" i="3"/>
  <c r="K444" i="3"/>
  <c r="M443" i="3"/>
  <c r="K443" i="3"/>
  <c r="M442" i="3"/>
  <c r="K442" i="3"/>
  <c r="M441" i="3"/>
  <c r="K441" i="3"/>
  <c r="M440" i="3"/>
  <c r="K440" i="3"/>
  <c r="M439" i="3"/>
  <c r="K439" i="3"/>
  <c r="M438" i="3"/>
  <c r="K438" i="3"/>
  <c r="M437" i="3"/>
  <c r="K437" i="3"/>
  <c r="M436" i="3"/>
  <c r="K436" i="3"/>
  <c r="M435" i="3"/>
  <c r="K435" i="3"/>
  <c r="M434" i="3"/>
  <c r="K434" i="3"/>
  <c r="M433" i="3"/>
  <c r="K433" i="3"/>
  <c r="M432" i="3"/>
  <c r="K432" i="3"/>
  <c r="M431" i="3"/>
  <c r="K431" i="3"/>
  <c r="M430" i="3"/>
  <c r="K430" i="3"/>
  <c r="M429" i="3"/>
  <c r="K429" i="3"/>
  <c r="M428" i="3"/>
  <c r="K428" i="3"/>
  <c r="M427" i="3"/>
  <c r="K427" i="3"/>
  <c r="M426" i="3"/>
  <c r="K426" i="3"/>
  <c r="M425" i="3"/>
  <c r="K425" i="3"/>
  <c r="M424" i="3"/>
  <c r="K424" i="3"/>
  <c r="M423" i="3"/>
  <c r="K423" i="3"/>
  <c r="M422" i="3"/>
  <c r="K422" i="3"/>
  <c r="M421" i="3"/>
  <c r="K421" i="3"/>
  <c r="M420" i="3"/>
  <c r="K420" i="3"/>
  <c r="M419" i="3"/>
  <c r="K419" i="3"/>
  <c r="M418" i="3"/>
  <c r="K418" i="3"/>
  <c r="M417" i="3"/>
  <c r="K417" i="3"/>
  <c r="M416" i="3"/>
  <c r="K416" i="3"/>
  <c r="M415" i="3"/>
  <c r="K415" i="3"/>
  <c r="M414" i="3"/>
  <c r="K414" i="3"/>
  <c r="M413" i="3"/>
  <c r="K413" i="3"/>
  <c r="M412" i="3"/>
  <c r="K412" i="3"/>
  <c r="M411" i="3"/>
  <c r="K411" i="3"/>
  <c r="M410" i="3"/>
  <c r="K410" i="3"/>
  <c r="M409" i="3"/>
  <c r="K409" i="3"/>
  <c r="M408" i="3"/>
  <c r="K408" i="3"/>
  <c r="M407" i="3"/>
  <c r="K407" i="3"/>
  <c r="M406" i="3"/>
  <c r="K406" i="3"/>
  <c r="M405" i="3"/>
  <c r="K405" i="3"/>
  <c r="M404" i="3"/>
  <c r="K404" i="3"/>
  <c r="M403" i="3"/>
  <c r="K403" i="3"/>
  <c r="M402" i="3"/>
  <c r="K402" i="3"/>
  <c r="M401" i="3"/>
  <c r="K401" i="3"/>
  <c r="M400" i="3"/>
  <c r="K400" i="3"/>
  <c r="M399" i="3"/>
  <c r="K399" i="3"/>
  <c r="M398" i="3"/>
  <c r="K398" i="3"/>
  <c r="M397" i="3"/>
  <c r="K397" i="3"/>
  <c r="M396" i="3"/>
  <c r="K396" i="3"/>
  <c r="M395" i="3"/>
  <c r="K395" i="3"/>
  <c r="M394" i="3"/>
  <c r="K394" i="3"/>
  <c r="M393" i="3"/>
  <c r="K393" i="3"/>
  <c r="M392" i="3"/>
  <c r="K392" i="3"/>
  <c r="M391" i="3"/>
  <c r="K391" i="3"/>
  <c r="M390" i="3"/>
  <c r="K390" i="3"/>
  <c r="M389" i="3"/>
  <c r="K389" i="3"/>
  <c r="M388" i="3"/>
  <c r="K388" i="3"/>
  <c r="M387" i="3"/>
  <c r="K387" i="3"/>
  <c r="M386" i="3"/>
  <c r="K386" i="3"/>
  <c r="M385" i="3"/>
  <c r="K385" i="3"/>
  <c r="M384" i="3"/>
  <c r="K384" i="3"/>
  <c r="M383" i="3"/>
  <c r="K383" i="3"/>
  <c r="M382" i="3"/>
  <c r="K382" i="3"/>
  <c r="M381" i="3"/>
  <c r="K381" i="3"/>
  <c r="M380" i="3"/>
  <c r="K380" i="3"/>
  <c r="M379" i="3"/>
  <c r="K379" i="3"/>
  <c r="M378" i="3"/>
  <c r="K378" i="3"/>
  <c r="M377" i="3"/>
  <c r="K377" i="3"/>
  <c r="M376" i="3"/>
  <c r="K376" i="3"/>
  <c r="M375" i="3"/>
  <c r="K375" i="3"/>
  <c r="M374" i="3"/>
  <c r="K374" i="3"/>
  <c r="M373" i="3"/>
  <c r="K373" i="3"/>
  <c r="M372" i="3"/>
  <c r="K372" i="3"/>
  <c r="M371" i="3"/>
  <c r="K371" i="3"/>
  <c r="M370" i="3"/>
  <c r="K370" i="3"/>
  <c r="M369" i="3"/>
  <c r="K369" i="3"/>
  <c r="M368" i="3"/>
  <c r="K368" i="3"/>
  <c r="M367" i="3"/>
  <c r="K367" i="3"/>
  <c r="M366" i="3"/>
  <c r="K366" i="3"/>
  <c r="M365" i="3"/>
  <c r="K365" i="3"/>
  <c r="M364" i="3"/>
  <c r="K364" i="3"/>
  <c r="M363" i="3"/>
  <c r="K363" i="3"/>
  <c r="M362" i="3"/>
  <c r="K362" i="3"/>
  <c r="M361" i="3"/>
  <c r="K361" i="3"/>
  <c r="M360" i="3"/>
  <c r="K360" i="3"/>
  <c r="M359" i="3"/>
  <c r="K359" i="3"/>
  <c r="M358" i="3"/>
  <c r="K358" i="3"/>
  <c r="M357" i="3"/>
  <c r="K357" i="3"/>
  <c r="M356" i="3"/>
  <c r="K356" i="3"/>
  <c r="M355" i="3"/>
  <c r="K355" i="3"/>
  <c r="M354" i="3"/>
  <c r="K354" i="3"/>
  <c r="M353" i="3"/>
  <c r="K353" i="3"/>
  <c r="M352" i="3"/>
  <c r="K352" i="3"/>
  <c r="M351" i="3"/>
  <c r="K351" i="3"/>
  <c r="M350" i="3"/>
  <c r="K350" i="3"/>
  <c r="M349" i="3"/>
  <c r="K349" i="3"/>
  <c r="M348" i="3"/>
  <c r="K348" i="3"/>
  <c r="M347" i="3"/>
  <c r="K347" i="3"/>
  <c r="M346" i="3"/>
  <c r="K346" i="3"/>
  <c r="M345" i="3"/>
  <c r="K345" i="3"/>
  <c r="M344" i="3"/>
  <c r="K344" i="3"/>
  <c r="M343" i="3"/>
  <c r="K343" i="3"/>
  <c r="M342" i="3"/>
  <c r="K342" i="3"/>
  <c r="M341" i="3"/>
  <c r="K341" i="3"/>
  <c r="M340" i="3"/>
  <c r="K340" i="3"/>
  <c r="M339" i="3"/>
  <c r="K339" i="3"/>
  <c r="M338" i="3"/>
  <c r="K338" i="3"/>
  <c r="M337" i="3"/>
  <c r="K337" i="3"/>
  <c r="M336" i="3"/>
  <c r="K336" i="3"/>
  <c r="M335" i="3"/>
  <c r="K335" i="3"/>
  <c r="M334" i="3"/>
  <c r="K334" i="3"/>
  <c r="M333" i="3"/>
  <c r="K333" i="3"/>
  <c r="M332" i="3"/>
  <c r="K332" i="3"/>
  <c r="M331" i="3"/>
  <c r="K331" i="3"/>
  <c r="M330" i="3"/>
  <c r="K330" i="3"/>
  <c r="M329" i="3"/>
  <c r="K329" i="3"/>
  <c r="M328" i="3"/>
  <c r="K328" i="3"/>
  <c r="M327" i="3"/>
  <c r="K327" i="3"/>
  <c r="M326" i="3"/>
  <c r="K326" i="3"/>
  <c r="M325" i="3"/>
  <c r="K325" i="3"/>
  <c r="M324" i="3"/>
  <c r="K324" i="3"/>
  <c r="M323" i="3"/>
  <c r="K323" i="3"/>
  <c r="M322" i="3"/>
  <c r="K322" i="3"/>
  <c r="M321" i="3"/>
  <c r="K321" i="3"/>
  <c r="M320" i="3"/>
  <c r="K320" i="3"/>
  <c r="M319" i="3"/>
  <c r="K319" i="3"/>
  <c r="M318" i="3"/>
  <c r="K318" i="3"/>
  <c r="M317" i="3"/>
  <c r="K317" i="3"/>
  <c r="M316" i="3"/>
  <c r="K316" i="3"/>
  <c r="M315" i="3"/>
  <c r="K315" i="3"/>
  <c r="M314" i="3"/>
  <c r="K314" i="3"/>
  <c r="M313" i="3"/>
  <c r="K313" i="3"/>
  <c r="M312" i="3"/>
  <c r="K312" i="3"/>
  <c r="M311" i="3"/>
  <c r="K311" i="3"/>
  <c r="M310" i="3"/>
  <c r="K310" i="3"/>
  <c r="M309" i="3"/>
  <c r="K309" i="3"/>
  <c r="M308" i="3"/>
  <c r="K308" i="3"/>
  <c r="M307" i="3"/>
  <c r="K307" i="3"/>
  <c r="M306" i="3"/>
  <c r="K306" i="3"/>
  <c r="M305" i="3"/>
  <c r="K305" i="3"/>
  <c r="M304" i="3"/>
  <c r="K304" i="3"/>
  <c r="M303" i="3"/>
  <c r="K303" i="3"/>
  <c r="M302" i="3"/>
  <c r="K302" i="3"/>
  <c r="M301" i="3"/>
  <c r="K301" i="3"/>
  <c r="M300" i="3"/>
  <c r="K300" i="3"/>
  <c r="M299" i="3"/>
  <c r="K299" i="3"/>
  <c r="M298" i="3"/>
  <c r="K298" i="3"/>
  <c r="M297" i="3"/>
  <c r="K297" i="3"/>
  <c r="M296" i="3"/>
  <c r="K296" i="3"/>
  <c r="M295" i="3"/>
  <c r="K295" i="3"/>
  <c r="M294" i="3"/>
  <c r="K294" i="3"/>
  <c r="M293" i="3"/>
  <c r="K293" i="3"/>
  <c r="M292" i="3"/>
  <c r="K292" i="3"/>
  <c r="M291" i="3"/>
  <c r="K291" i="3"/>
  <c r="M290" i="3"/>
  <c r="K290" i="3"/>
  <c r="M289" i="3"/>
  <c r="K289" i="3"/>
  <c r="M288" i="3"/>
  <c r="K288" i="3"/>
  <c r="M287" i="3"/>
  <c r="K287" i="3"/>
  <c r="M286" i="3"/>
  <c r="K286" i="3"/>
  <c r="M285" i="3"/>
  <c r="K285" i="3"/>
  <c r="M284" i="3"/>
  <c r="K284" i="3"/>
  <c r="M283" i="3"/>
  <c r="K283" i="3"/>
  <c r="M282" i="3"/>
  <c r="K282" i="3"/>
  <c r="M281" i="3"/>
  <c r="K281" i="3"/>
  <c r="M280" i="3"/>
  <c r="K280" i="3"/>
  <c r="M279" i="3"/>
  <c r="K279" i="3"/>
  <c r="M278" i="3"/>
  <c r="K278" i="3"/>
  <c r="M277" i="3"/>
  <c r="K277" i="3"/>
  <c r="M276" i="3"/>
  <c r="K276" i="3"/>
  <c r="M275" i="3"/>
  <c r="K275" i="3"/>
  <c r="M274" i="3"/>
  <c r="K274" i="3"/>
  <c r="M273" i="3"/>
  <c r="K273" i="3"/>
  <c r="M272" i="3"/>
  <c r="K272" i="3"/>
  <c r="M271" i="3"/>
  <c r="K271" i="3"/>
  <c r="M270" i="3"/>
  <c r="K270" i="3"/>
  <c r="M269" i="3"/>
  <c r="K269" i="3"/>
  <c r="M268" i="3"/>
  <c r="K268" i="3"/>
  <c r="M267" i="3"/>
  <c r="K267" i="3"/>
  <c r="M266" i="3"/>
  <c r="K266" i="3"/>
  <c r="M265" i="3"/>
  <c r="K265" i="3"/>
  <c r="M264" i="3"/>
  <c r="K264" i="3"/>
  <c r="M263" i="3"/>
  <c r="K263" i="3"/>
  <c r="M262" i="3"/>
  <c r="K262" i="3"/>
  <c r="M261" i="3"/>
  <c r="K261" i="3"/>
  <c r="M260" i="3"/>
  <c r="K260" i="3"/>
  <c r="M259" i="3"/>
  <c r="K259" i="3"/>
  <c r="M258" i="3"/>
  <c r="K258" i="3"/>
  <c r="M257" i="3"/>
  <c r="K257" i="3"/>
  <c r="M256" i="3"/>
  <c r="K256" i="3"/>
  <c r="M255" i="3"/>
  <c r="K255" i="3"/>
  <c r="M254" i="3"/>
  <c r="K254" i="3"/>
  <c r="M253" i="3"/>
  <c r="K253" i="3"/>
  <c r="M252" i="3"/>
  <c r="K252" i="3"/>
  <c r="M251" i="3"/>
  <c r="K251" i="3"/>
  <c r="M250" i="3"/>
  <c r="K250" i="3"/>
  <c r="M249" i="3"/>
  <c r="K249" i="3"/>
  <c r="M248" i="3"/>
  <c r="K248" i="3"/>
  <c r="M247" i="3"/>
  <c r="K247" i="3"/>
  <c r="M246" i="3"/>
  <c r="K246" i="3"/>
  <c r="M245" i="3"/>
  <c r="K245" i="3"/>
  <c r="M244" i="3"/>
  <c r="K244" i="3"/>
  <c r="M243" i="3"/>
  <c r="K243" i="3"/>
  <c r="M242" i="3"/>
  <c r="K242" i="3"/>
  <c r="M241" i="3"/>
  <c r="K241" i="3"/>
  <c r="M240" i="3"/>
  <c r="K240" i="3"/>
  <c r="M239" i="3"/>
  <c r="K239" i="3"/>
  <c r="M238" i="3"/>
  <c r="K238" i="3"/>
  <c r="M237" i="3"/>
  <c r="K237" i="3"/>
  <c r="M236" i="3"/>
  <c r="K236" i="3"/>
  <c r="M235" i="3"/>
  <c r="K235" i="3"/>
  <c r="M234" i="3"/>
  <c r="K234" i="3"/>
  <c r="M233" i="3"/>
  <c r="K233" i="3"/>
  <c r="M232" i="3"/>
  <c r="K232" i="3"/>
  <c r="M231" i="3"/>
  <c r="K231" i="3"/>
  <c r="M230" i="3"/>
  <c r="K230" i="3"/>
  <c r="M229" i="3"/>
  <c r="K229" i="3"/>
  <c r="M228" i="3"/>
  <c r="K228" i="3"/>
  <c r="M227" i="3"/>
  <c r="K227" i="3"/>
  <c r="M226" i="3"/>
  <c r="K226" i="3"/>
  <c r="M225" i="3"/>
  <c r="K225" i="3"/>
  <c r="M224" i="3"/>
  <c r="K224" i="3"/>
  <c r="M223" i="3"/>
  <c r="K223" i="3"/>
  <c r="M222" i="3"/>
  <c r="K222" i="3"/>
  <c r="M221" i="3"/>
  <c r="K221" i="3"/>
  <c r="M220" i="3"/>
  <c r="K220" i="3"/>
  <c r="M219" i="3"/>
  <c r="K219" i="3"/>
  <c r="M218" i="3"/>
  <c r="K218" i="3"/>
  <c r="M217" i="3"/>
  <c r="K217" i="3"/>
  <c r="M216" i="3"/>
  <c r="K216" i="3"/>
  <c r="M215" i="3"/>
  <c r="K215" i="3"/>
  <c r="M214" i="3"/>
  <c r="K214" i="3"/>
  <c r="M213" i="3"/>
  <c r="K213" i="3"/>
  <c r="M212" i="3"/>
  <c r="K212" i="3"/>
  <c r="M211" i="3"/>
  <c r="K211" i="3"/>
  <c r="M210" i="3"/>
  <c r="K210" i="3"/>
  <c r="M209" i="3"/>
  <c r="K209" i="3"/>
  <c r="M208" i="3"/>
  <c r="K208" i="3"/>
  <c r="M207" i="3"/>
  <c r="K207" i="3"/>
  <c r="M206" i="3"/>
  <c r="K206" i="3"/>
  <c r="M205" i="3"/>
  <c r="K205" i="3"/>
  <c r="M204" i="3"/>
  <c r="K204" i="3"/>
  <c r="M203" i="3"/>
  <c r="K203" i="3"/>
  <c r="M202" i="3"/>
  <c r="K202" i="3"/>
  <c r="M201" i="3"/>
  <c r="K201" i="3"/>
  <c r="M200" i="3"/>
  <c r="K200" i="3"/>
  <c r="M199" i="3"/>
  <c r="K199" i="3"/>
  <c r="M198" i="3"/>
  <c r="K198" i="3"/>
  <c r="M197" i="3"/>
  <c r="K197" i="3"/>
  <c r="M196" i="3"/>
  <c r="K196" i="3"/>
  <c r="M195" i="3"/>
  <c r="K195" i="3"/>
  <c r="M194" i="3"/>
  <c r="K194" i="3"/>
  <c r="M193" i="3"/>
  <c r="K193" i="3"/>
  <c r="M192" i="3"/>
  <c r="K192" i="3"/>
  <c r="M191" i="3"/>
  <c r="K191" i="3"/>
  <c r="M190" i="3"/>
  <c r="K190" i="3"/>
  <c r="M189" i="3"/>
  <c r="K189" i="3"/>
  <c r="M188" i="3"/>
  <c r="K188" i="3"/>
  <c r="M187" i="3"/>
  <c r="K187" i="3"/>
  <c r="M186" i="3"/>
  <c r="K186" i="3"/>
  <c r="M185" i="3"/>
  <c r="K185" i="3"/>
  <c r="M184" i="3"/>
  <c r="K184" i="3"/>
  <c r="M183" i="3"/>
  <c r="K183" i="3"/>
  <c r="M182" i="3"/>
  <c r="K182" i="3"/>
  <c r="M181" i="3"/>
  <c r="K181" i="3"/>
  <c r="M180" i="3"/>
  <c r="K180" i="3"/>
  <c r="M179" i="3"/>
  <c r="K179" i="3"/>
  <c r="M178" i="3"/>
  <c r="K178" i="3"/>
  <c r="M177" i="3"/>
  <c r="K177" i="3"/>
  <c r="M176" i="3"/>
  <c r="K176" i="3"/>
  <c r="M175" i="3"/>
  <c r="K175" i="3"/>
  <c r="M174" i="3"/>
  <c r="K174" i="3"/>
  <c r="M173" i="3"/>
  <c r="K173" i="3"/>
  <c r="M172" i="3"/>
  <c r="K172" i="3"/>
  <c r="M171" i="3"/>
  <c r="K171" i="3"/>
  <c r="M170" i="3"/>
  <c r="K170" i="3"/>
  <c r="M169" i="3"/>
  <c r="K169" i="3"/>
  <c r="M168" i="3"/>
  <c r="K168" i="3"/>
  <c r="M167" i="3"/>
  <c r="K167" i="3"/>
  <c r="M166" i="3"/>
  <c r="K166" i="3"/>
  <c r="M165" i="3"/>
  <c r="K165" i="3"/>
  <c r="M164" i="3"/>
  <c r="K164" i="3"/>
  <c r="M163" i="3"/>
  <c r="K163" i="3"/>
  <c r="M162" i="3"/>
  <c r="K162" i="3"/>
  <c r="M161" i="3"/>
  <c r="K161" i="3"/>
  <c r="M160" i="3"/>
  <c r="K160" i="3"/>
  <c r="M159" i="3"/>
  <c r="K159" i="3"/>
  <c r="M158" i="3"/>
  <c r="K158" i="3"/>
  <c r="M157" i="3"/>
  <c r="K157" i="3"/>
  <c r="M156" i="3"/>
  <c r="K156" i="3"/>
  <c r="M155" i="3"/>
  <c r="K155" i="3"/>
  <c r="M154" i="3"/>
  <c r="K154" i="3"/>
  <c r="M153" i="3"/>
  <c r="K153" i="3"/>
  <c r="M152" i="3"/>
  <c r="K152" i="3"/>
  <c r="M151" i="3"/>
  <c r="K151" i="3"/>
  <c r="M150" i="3"/>
  <c r="K150" i="3"/>
  <c r="M149" i="3"/>
  <c r="K149" i="3"/>
  <c r="M148" i="3"/>
  <c r="K148" i="3"/>
  <c r="M147" i="3"/>
  <c r="K147" i="3"/>
  <c r="M146" i="3"/>
  <c r="K146" i="3"/>
  <c r="M145" i="3"/>
  <c r="K145" i="3"/>
  <c r="M144" i="3"/>
  <c r="K144" i="3"/>
  <c r="M143" i="3"/>
  <c r="K143" i="3"/>
  <c r="M142" i="3"/>
  <c r="K142" i="3"/>
  <c r="M141" i="3"/>
  <c r="K141" i="3"/>
  <c r="M140" i="3"/>
  <c r="K140" i="3"/>
  <c r="M139" i="3"/>
  <c r="K139" i="3"/>
  <c r="M138" i="3"/>
  <c r="K138" i="3"/>
  <c r="M137" i="3"/>
  <c r="K137" i="3"/>
  <c r="M136" i="3"/>
  <c r="K136" i="3"/>
  <c r="M135" i="3"/>
  <c r="K135" i="3"/>
  <c r="M134" i="3"/>
  <c r="K134" i="3"/>
  <c r="M133" i="3"/>
  <c r="K133" i="3"/>
  <c r="M132" i="3"/>
  <c r="K132" i="3"/>
  <c r="M131" i="3"/>
  <c r="K131" i="3"/>
  <c r="M130" i="3"/>
  <c r="K130" i="3"/>
  <c r="M129" i="3"/>
  <c r="K129" i="3"/>
  <c r="M128" i="3"/>
  <c r="K128" i="3"/>
  <c r="M127" i="3"/>
  <c r="K127" i="3"/>
  <c r="M126" i="3"/>
  <c r="K126" i="3"/>
  <c r="M125" i="3"/>
  <c r="K125" i="3"/>
  <c r="M124" i="3"/>
  <c r="K124" i="3"/>
  <c r="M123" i="3"/>
  <c r="K123" i="3"/>
  <c r="M122" i="3"/>
  <c r="K122" i="3"/>
  <c r="M121" i="3"/>
  <c r="K121" i="3"/>
  <c r="M120" i="3"/>
  <c r="K120" i="3"/>
  <c r="M119" i="3"/>
  <c r="K119" i="3"/>
  <c r="M118" i="3"/>
  <c r="K118" i="3"/>
  <c r="M117" i="3"/>
  <c r="K117" i="3"/>
  <c r="M116" i="3"/>
  <c r="K116" i="3"/>
  <c r="M115" i="3"/>
  <c r="K115" i="3"/>
  <c r="M114" i="3"/>
  <c r="K114" i="3"/>
  <c r="M113" i="3"/>
  <c r="K113" i="3"/>
  <c r="M112" i="3"/>
  <c r="K112" i="3"/>
  <c r="M111" i="3"/>
  <c r="K111" i="3"/>
  <c r="M110" i="3"/>
  <c r="K110" i="3"/>
  <c r="M109" i="3"/>
  <c r="K109" i="3"/>
  <c r="M108" i="3"/>
  <c r="K108" i="3"/>
  <c r="M107" i="3"/>
  <c r="K107" i="3"/>
  <c r="M106" i="3"/>
  <c r="K106" i="3"/>
  <c r="M105" i="3"/>
  <c r="K105" i="3"/>
  <c r="M104" i="3"/>
  <c r="K104" i="3"/>
  <c r="M103" i="3"/>
  <c r="K103" i="3"/>
  <c r="M102" i="3"/>
  <c r="K102" i="3"/>
  <c r="M101" i="3"/>
  <c r="K101" i="3"/>
  <c r="M100" i="3"/>
  <c r="K100" i="3"/>
  <c r="M99" i="3"/>
  <c r="K99" i="3"/>
  <c r="M98" i="3"/>
  <c r="K98" i="3"/>
  <c r="M97" i="3"/>
  <c r="K97" i="3"/>
  <c r="M96" i="3"/>
  <c r="K96" i="3"/>
  <c r="M95" i="3"/>
  <c r="K95" i="3"/>
  <c r="M94" i="3"/>
  <c r="K94" i="3"/>
  <c r="M93" i="3"/>
  <c r="K93" i="3"/>
  <c r="M92" i="3"/>
  <c r="K92" i="3"/>
  <c r="M91" i="3"/>
  <c r="K91" i="3"/>
  <c r="M90" i="3"/>
  <c r="K90" i="3"/>
  <c r="M89" i="3"/>
  <c r="K89" i="3"/>
  <c r="M88" i="3"/>
  <c r="K88" i="3"/>
  <c r="M87" i="3"/>
  <c r="K87" i="3"/>
  <c r="M86" i="3"/>
  <c r="K86" i="3"/>
  <c r="M85" i="3"/>
  <c r="K85" i="3"/>
  <c r="M84" i="3"/>
  <c r="K84" i="3"/>
  <c r="M83" i="3"/>
  <c r="K83" i="3"/>
  <c r="M82" i="3"/>
  <c r="K82" i="3"/>
  <c r="M81" i="3"/>
  <c r="K81" i="3"/>
  <c r="M80" i="3"/>
  <c r="K80" i="3"/>
  <c r="M79" i="3"/>
  <c r="K79" i="3"/>
  <c r="M78" i="3"/>
  <c r="K78" i="3"/>
  <c r="M77" i="3"/>
  <c r="K77" i="3"/>
  <c r="M76" i="3"/>
  <c r="K76" i="3"/>
  <c r="M75" i="3"/>
  <c r="K75" i="3"/>
  <c r="M74" i="3"/>
  <c r="K74" i="3"/>
  <c r="M73" i="3"/>
  <c r="K73" i="3"/>
  <c r="M72" i="3"/>
  <c r="K72" i="3"/>
  <c r="M71" i="3"/>
  <c r="K71" i="3"/>
  <c r="M70" i="3"/>
  <c r="K70" i="3"/>
  <c r="M69" i="3"/>
  <c r="K69" i="3"/>
  <c r="M68" i="3"/>
  <c r="K68" i="3"/>
  <c r="M67" i="3"/>
  <c r="K67" i="3"/>
  <c r="M66" i="3"/>
  <c r="K66" i="3"/>
  <c r="M65" i="3"/>
  <c r="K65" i="3"/>
  <c r="M64" i="3"/>
  <c r="K64" i="3"/>
  <c r="M63" i="3"/>
  <c r="K63" i="3"/>
  <c r="M62" i="3"/>
  <c r="K62" i="3"/>
  <c r="M61" i="3"/>
  <c r="K61" i="3"/>
  <c r="M60" i="3"/>
  <c r="K60" i="3"/>
  <c r="M59" i="3"/>
  <c r="K59" i="3"/>
  <c r="M58" i="3"/>
  <c r="K58" i="3"/>
  <c r="M57" i="3"/>
  <c r="K57" i="3"/>
  <c r="M56" i="3"/>
  <c r="K56" i="3"/>
  <c r="M55" i="3"/>
  <c r="K55" i="3"/>
  <c r="M54" i="3"/>
  <c r="K54" i="3"/>
  <c r="M53" i="3"/>
  <c r="K53" i="3"/>
  <c r="M52" i="3"/>
  <c r="K52" i="3"/>
  <c r="M51" i="3"/>
  <c r="K51" i="3"/>
  <c r="M50" i="3"/>
  <c r="K50" i="3"/>
  <c r="M49" i="3"/>
  <c r="K49" i="3"/>
  <c r="M48" i="3"/>
  <c r="K48" i="3"/>
  <c r="M47" i="3"/>
  <c r="K47" i="3"/>
  <c r="M46" i="3"/>
  <c r="K46" i="3"/>
  <c r="M45" i="3"/>
  <c r="K45" i="3"/>
  <c r="M44" i="3"/>
  <c r="K44" i="3"/>
  <c r="M43" i="3"/>
  <c r="K43" i="3"/>
  <c r="M42" i="3"/>
  <c r="K42" i="3"/>
  <c r="M41" i="3"/>
  <c r="K41" i="3"/>
  <c r="M40" i="3"/>
  <c r="K40" i="3"/>
  <c r="M39" i="3"/>
  <c r="K39" i="3"/>
  <c r="M38" i="3"/>
  <c r="K38" i="3"/>
  <c r="M37" i="3"/>
  <c r="K37" i="3"/>
  <c r="M36" i="3"/>
  <c r="K36" i="3"/>
  <c r="M35" i="3"/>
  <c r="K35" i="3"/>
  <c r="M34" i="3"/>
  <c r="K34" i="3"/>
  <c r="M33" i="3"/>
  <c r="K33" i="3"/>
  <c r="M32" i="3"/>
  <c r="K32" i="3"/>
  <c r="M31" i="3"/>
  <c r="K31" i="3"/>
  <c r="M30" i="3"/>
  <c r="K30" i="3"/>
  <c r="M29" i="3"/>
  <c r="K29" i="3"/>
  <c r="M28" i="3"/>
  <c r="K28" i="3"/>
  <c r="M27" i="3"/>
  <c r="K27" i="3"/>
  <c r="M26" i="3"/>
  <c r="K26" i="3"/>
  <c r="M25" i="3"/>
  <c r="K25" i="3"/>
  <c r="M24" i="3"/>
  <c r="K24" i="3"/>
  <c r="M23" i="3"/>
  <c r="K23" i="3"/>
  <c r="M22" i="3"/>
  <c r="K22" i="3"/>
  <c r="M21" i="3"/>
  <c r="K21" i="3"/>
  <c r="M20" i="3"/>
  <c r="K20" i="3"/>
  <c r="M19" i="3"/>
  <c r="K19" i="3"/>
  <c r="M18" i="3"/>
  <c r="K18" i="3"/>
  <c r="M17" i="3"/>
  <c r="K17" i="3"/>
  <c r="M16" i="3"/>
  <c r="K16" i="3"/>
  <c r="M15" i="3"/>
  <c r="K15" i="3"/>
  <c r="M14" i="3"/>
  <c r="K14" i="3"/>
  <c r="M13" i="3"/>
  <c r="K13" i="3"/>
  <c r="M12" i="3"/>
  <c r="K12" i="3"/>
  <c r="M11" i="3"/>
  <c r="K11" i="3"/>
  <c r="M10" i="3"/>
  <c r="K10" i="3"/>
  <c r="M9" i="3"/>
  <c r="K9" i="3"/>
  <c r="M8" i="3"/>
  <c r="K8" i="3"/>
  <c r="M7" i="3"/>
  <c r="K7" i="3"/>
  <c r="M6" i="3"/>
  <c r="K6" i="3"/>
  <c r="M5" i="3"/>
  <c r="K5" i="3"/>
  <c r="M4" i="3"/>
  <c r="K4" i="3"/>
  <c r="M3" i="3"/>
  <c r="K3" i="3"/>
  <c r="M2" i="3"/>
  <c r="K2" i="3"/>
  <c r="O183" i="2"/>
  <c r="N183" i="2"/>
  <c r="O182" i="2"/>
  <c r="N182" i="2"/>
  <c r="O181" i="2"/>
  <c r="N181" i="2"/>
  <c r="O180" i="2"/>
  <c r="N180" i="2"/>
  <c r="O179" i="2"/>
  <c r="N179" i="2"/>
  <c r="O178" i="2"/>
  <c r="N178" i="2"/>
  <c r="O177" i="2"/>
  <c r="N177" i="2"/>
  <c r="O176" i="2"/>
  <c r="N176" i="2"/>
  <c r="O175" i="2"/>
  <c r="N175" i="2"/>
  <c r="O174" i="2"/>
  <c r="N174" i="2"/>
  <c r="O173" i="2"/>
  <c r="N173" i="2"/>
  <c r="O172" i="2"/>
  <c r="N172" i="2"/>
  <c r="O171" i="2"/>
  <c r="N171" i="2"/>
  <c r="O170" i="2"/>
  <c r="N170" i="2"/>
  <c r="O169" i="2"/>
  <c r="N169" i="2"/>
  <c r="O168" i="2"/>
  <c r="N168" i="2"/>
  <c r="O167" i="2"/>
  <c r="N167" i="2"/>
  <c r="O166" i="2"/>
  <c r="N166" i="2"/>
  <c r="O165" i="2"/>
  <c r="N165" i="2"/>
  <c r="O164" i="2"/>
  <c r="N164" i="2"/>
  <c r="O163" i="2"/>
  <c r="N163" i="2"/>
  <c r="O162" i="2"/>
  <c r="N162" i="2"/>
  <c r="O161" i="2"/>
  <c r="N161" i="2"/>
  <c r="O160" i="2"/>
  <c r="N160" i="2"/>
  <c r="O159" i="2"/>
  <c r="N159" i="2"/>
  <c r="O158" i="2"/>
  <c r="N158" i="2"/>
  <c r="O157" i="2"/>
  <c r="N157" i="2"/>
  <c r="O156" i="2"/>
  <c r="N156" i="2"/>
  <c r="O155" i="2"/>
  <c r="N155" i="2"/>
  <c r="O154" i="2"/>
  <c r="N154" i="2"/>
  <c r="O153" i="2"/>
  <c r="N153" i="2"/>
  <c r="O152" i="2"/>
  <c r="N152" i="2"/>
  <c r="O151" i="2"/>
  <c r="N151" i="2"/>
  <c r="O150" i="2"/>
  <c r="N150" i="2"/>
  <c r="O149" i="2"/>
  <c r="N149" i="2"/>
  <c r="O148" i="2"/>
  <c r="N148" i="2"/>
  <c r="O147" i="2"/>
  <c r="N147" i="2"/>
  <c r="O146" i="2"/>
  <c r="N146" i="2"/>
  <c r="O145" i="2"/>
  <c r="N145" i="2"/>
  <c r="O144" i="2"/>
  <c r="N144" i="2"/>
  <c r="O143" i="2"/>
  <c r="N143" i="2"/>
  <c r="O142" i="2"/>
  <c r="N142" i="2"/>
  <c r="O141" i="2"/>
  <c r="N141" i="2"/>
  <c r="O140" i="2"/>
  <c r="N140" i="2"/>
  <c r="O139" i="2"/>
  <c r="N139" i="2"/>
  <c r="O138" i="2"/>
  <c r="N138" i="2"/>
  <c r="O137" i="2"/>
  <c r="N137" i="2"/>
  <c r="O136" i="2"/>
  <c r="N136" i="2"/>
  <c r="O135" i="2"/>
  <c r="N135" i="2"/>
  <c r="O134" i="2"/>
  <c r="N134" i="2"/>
  <c r="O133" i="2"/>
  <c r="N133" i="2"/>
  <c r="O132" i="2"/>
  <c r="N132" i="2"/>
  <c r="O131" i="2"/>
  <c r="N131" i="2"/>
  <c r="O130" i="2"/>
  <c r="N130" i="2"/>
  <c r="O129" i="2"/>
  <c r="N129" i="2"/>
  <c r="O128" i="2"/>
  <c r="N128" i="2"/>
  <c r="O127" i="2"/>
  <c r="N127" i="2"/>
  <c r="O126" i="2"/>
  <c r="N126" i="2"/>
  <c r="O125" i="2"/>
  <c r="N125" i="2"/>
  <c r="O124" i="2"/>
  <c r="N124" i="2"/>
  <c r="O123" i="2"/>
  <c r="N123" i="2"/>
  <c r="O122" i="2"/>
  <c r="N122" i="2"/>
  <c r="O121" i="2"/>
  <c r="N121" i="2"/>
  <c r="O120" i="2"/>
  <c r="N120" i="2"/>
  <c r="O119" i="2"/>
  <c r="N119" i="2"/>
  <c r="O118" i="2"/>
  <c r="N118" i="2"/>
  <c r="O117" i="2"/>
  <c r="N117" i="2"/>
  <c r="O116" i="2"/>
  <c r="N116" i="2"/>
  <c r="O115" i="2"/>
  <c r="N115" i="2"/>
  <c r="O114" i="2"/>
  <c r="N114" i="2"/>
  <c r="O113" i="2"/>
  <c r="N113" i="2"/>
  <c r="O112" i="2"/>
  <c r="N112" i="2"/>
  <c r="O111" i="2"/>
  <c r="N111" i="2"/>
  <c r="O110" i="2"/>
  <c r="N110" i="2"/>
  <c r="O109" i="2"/>
  <c r="N109" i="2"/>
  <c r="O108" i="2"/>
  <c r="N108" i="2"/>
  <c r="O107" i="2"/>
  <c r="N107" i="2"/>
  <c r="O106" i="2"/>
  <c r="N106" i="2"/>
  <c r="O105" i="2"/>
  <c r="N105" i="2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G18" i="1"/>
  <c r="F18" i="1"/>
  <c r="D18" i="1"/>
  <c r="C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E18" i="1" s="1"/>
  <c r="D6" i="1"/>
  <c r="C6" i="1"/>
  <c r="B6" i="1"/>
  <c r="B18" i="1" s="1"/>
</calcChain>
</file>

<file path=xl/sharedStrings.xml><?xml version="1.0" encoding="utf-8"?>
<sst xmlns="http://schemas.openxmlformats.org/spreadsheetml/2006/main" count="5014" uniqueCount="1504">
  <si>
    <t>The Boardwalk vs. HelloData Comp Set</t>
  </si>
  <si>
    <t>July 2025 – June 2026</t>
  </si>
  <si>
    <t>Rent chart only considers new leases</t>
  </si>
  <si>
    <t>Month</t>
  </si>
  <si>
    <t>The Boardwalk
Lease Count</t>
  </si>
  <si>
    <t>The Boardwalk
Gross PSF</t>
  </si>
  <si>
    <t>The Boardwalk
Effective PSF</t>
  </si>
  <si>
    <t>Comp Set
Lease Count</t>
  </si>
  <si>
    <t>Comp Set
Gross PSF</t>
  </si>
  <si>
    <t>Comp Set
Effective PSF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</si>
  <si>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</si>
  <si>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</si>
  <si>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</si>
  <si>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</si>
  <si>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</si>
  <si>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</si>
  <si>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</si>
  <si>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</si>
  <si>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</si>
  <si>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</si>
  <si>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</si>
  <si>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</si>
  <si>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T12 Total / SF-Wtd</t>
  </si>
  <si>
    <t>Methodology</t>
  </si>
  <si>
    <t>Property lines (Yardi)</t>
  </si>
  <si>
    <t>Source: Yardi LTO report (RRG-10658) — 12-month+ term new leases (Move Ins), Jul 2025 – Jun 2026 lease start. Unit Transfers and Lease Renewals excluded.</t>
  </si>
  <si>
    <t xml:space="preserve">   • 182 new-lease Move Ins over the T12 window (12-month+ terms).</t>
  </si>
  <si>
    <t>Gross PSF = Lease Rent / Sqft. Effective PSF = Effective Rent / Sqft (net of upfront concessions and free months).</t>
  </si>
  <si>
    <t>SF-weighted at monthly level: sum of dollars leased that month / sum of SF leased that month.</t>
  </si>
  <si>
    <t>Comp lines (HelloData closed listings)</t>
  </si>
  <si>
    <t>Source: HelloData Unit-Level Data — Leased Date between 2025-07-01 and 2026-06-30. Same SF-weighted methodology.</t>
  </si>
  <si>
    <t>Comp set (10 properties, 1,005 closed comp leases over T12):</t>
  </si>
  <si>
    <t xml:space="preserve">   • The Park at Veneto (174)</t>
  </si>
  <si>
    <t xml:space="preserve">   • 39 Acres (164)</t>
  </si>
  <si>
    <t xml:space="preserve">   • Brantley Pines Apartments (130)</t>
  </si>
  <si>
    <t xml:space="preserve">   • The Park at Positano (124)</t>
  </si>
  <si>
    <t xml:space="preserve">   • The Laurels (118)</t>
  </si>
  <si>
    <t xml:space="preserve">   • The Park at Murano (108)</t>
  </si>
  <si>
    <t xml:space="preserve">   • Coral Cove (76)</t>
  </si>
  <si>
    <t xml:space="preserve">   • Aria Landings (67)</t>
  </si>
  <si>
    <t xml:space="preserve">   • Westchase (37)</t>
  </si>
  <si>
    <t xml:space="preserve">   • Westwood Apartments (7)</t>
  </si>
  <si>
    <t>Observations</t>
  </si>
  <si>
    <t>1. Subject opened well above the comp set on gross but crossed below mid-window, while finishing the year near level on gross and well above on effective.</t>
  </si>
  <si>
    <t xml:space="preserve">   Jul 2025: The Boardwalk .83 gross / .63 effective vs comps .71 gross / .50 effective.</t>
  </si>
  <si>
    <t xml:space="preserve">   By Feb–Apr 2026 the subject gross had fallen to .26–.29, well below the comp set. A partial recovery in May–Jun 2026 brought it back near parity on gross while the effective line finished strongly above comps (+18.4% in Jun) due to subject concession burn-off.</t>
  </si>
  <si>
    <t>2. Both sides softened through the year, but the subject fell faster and further on gross.</t>
  </si>
  <si>
    <t xml:space="preserve">   Subject gross declined from .83 to .54 (-15.7%); comp gross from .71 to .52 (-11.4%). The subject fell faster and dropped below the comp set from Dec 2025 through Apr 2026.</t>
  </si>
  <si>
    <t xml:space="preserve">   The Aug → Sep subject drop (-/bin/sh.21) was the largest single-month move; the Apr → May recovery (+/bin/sh.23) partially reversed it. May 2026 has only 7 subject leases — that recovery reading is thin and should be read cautiously.</t>
  </si>
  <si>
    <t>3. The standout story is concessions: subject burned them off, comp set deepened them.</t>
  </si>
  <si>
    <t xml:space="preserve">   Both opened Jul 2025 with similar concession loads (/bin/sh.21 subject, /bin/sh.21 comp gross-to-effective gap). Through the year the subject reduced its gap to near-zero (/bin/sh.01 in Jun 2026), while the comp set held a wide gap (/bin/sh.22 in Jun 2026).</t>
  </si>
  <si>
    <t xml:space="preserve">   This means the subject effective line crossed above the comp effective line and stayed there from late 2025 onward, even while the gross lines converged and crossed.</t>
  </si>
  <si>
    <t>4. Jun 2026 ending position:</t>
  </si>
  <si>
    <t xml:space="preserve">   • Gross PSF: subject .54 vs comp .52 (subject +1.9%) — near level.</t>
  </si>
  <si>
    <t xml:space="preserve">   • Effective PSF: subject .53 vs comp .29 (subject +18.4%) — large premium.</t>
  </si>
  <si>
    <t>5. Jul → Jun move:</t>
  </si>
  <si>
    <t xml:space="preserve">   • Subject gross PSF: -/bin/sh.29 (-15.7%).</t>
  </si>
  <si>
    <t xml:space="preserve">   • Subject effective PSF: -/bin/sh.09 (-5.8%).</t>
  </si>
  <si>
    <t xml:space="preserve">   • Comp gross PSF: -/bin/sh.20 (-11.4%).</t>
  </si>
  <si>
    <t xml:space="preserve">   • Comp effective PSF: -/bin/sh.21 (-13.8%).</t>
  </si>
  <si>
    <t xml:space="preserve">   Subject gross fell more than comps, but subject effective held far better — the concession normalization preserved net pricing.</t>
  </si>
  <si>
    <t>6. T12 SF-weighted averages: subject .43 gross / .34 effective vs comp .54 gross / .32 effective.</t>
  </si>
  <si>
    <t xml:space="preserve">   On gross the subject runs ~6.9% below comp for the window; on effective it is essentially level (+1.1%). The subject carries lighter T12 concessions (/bin/sh.10 gap) than the comp set (/bin/sh.22), which is the key differentiator.</t>
  </si>
  <si>
    <t>7. Sample sizes: subject monthly lease counts range 7–29; comp monthly counts range 42–111.</t>
  </si>
  <si>
    <t xml:space="preserve">   May 2026 (7 subject leases) is the thinnest month — its .52 gross recovery reading should be treated with caution. All other months have 8+ subject leases and are reasonably reliable.</t>
  </si>
  <si>
    <t>Source</t>
  </si>
  <si>
    <t>Resident Name</t>
  </si>
  <si>
    <t>Unit Type</t>
  </si>
  <si>
    <t>Unit</t>
  </si>
  <si>
    <t>Sqft</t>
  </si>
  <si>
    <t>Lease Start</t>
  </si>
  <si>
    <t>Lease Term</t>
  </si>
  <si>
    <t>Market Rent</t>
  </si>
  <si>
    <t>Lease Rent</t>
  </si>
  <si>
    <t>Up-Front Concessions</t>
  </si>
  <si>
    <t>Months Free</t>
  </si>
  <si>
    <t>Total Concessions</t>
  </si>
  <si>
    <t>Effective Rent</t>
  </si>
  <si>
    <t>Gross PSF</t>
  </si>
  <si>
    <t>Effective PSF</t>
  </si>
  <si>
    <t>Move Ins</t>
  </si>
  <si>
    <t>Rodrigue Javel</t>
  </si>
  <si>
    <t>BWK.C2</t>
  </si>
  <si>
    <t>4640H242</t>
  </si>
  <si>
    <t>2025-07</t>
  </si>
  <si>
    <t>Lisandra Valdes</t>
  </si>
  <si>
    <t>BWK.B0</t>
  </si>
  <si>
    <t>4665K169</t>
  </si>
  <si>
    <t>Colton Shore</t>
  </si>
  <si>
    <t>BWK.S2</t>
  </si>
  <si>
    <t>4775A102</t>
  </si>
  <si>
    <t>Trinity Mclane</t>
  </si>
  <si>
    <t>BWK.A1</t>
  </si>
  <si>
    <t>4755B215</t>
  </si>
  <si>
    <t>Aaron Brown</t>
  </si>
  <si>
    <t>BWK.B2</t>
  </si>
  <si>
    <t>4622B207</t>
  </si>
  <si>
    <t>Mikayla Close</t>
  </si>
  <si>
    <t>BWK.S1</t>
  </si>
  <si>
    <t>4658M174</t>
  </si>
  <si>
    <t>Keesha Samuels</t>
  </si>
  <si>
    <t>4755B110</t>
  </si>
  <si>
    <t>Aaron Langley</t>
  </si>
  <si>
    <t>4662N180</t>
  </si>
  <si>
    <t>Antoinette Shanks</t>
  </si>
  <si>
    <t>4640H236</t>
  </si>
  <si>
    <t>Dayana Etheart</t>
  </si>
  <si>
    <t>4735C122</t>
  </si>
  <si>
    <t>Micah Tucker</t>
  </si>
  <si>
    <t>4775A204</t>
  </si>
  <si>
    <t>Vidalia Salinas</t>
  </si>
  <si>
    <t>4635I156</t>
  </si>
  <si>
    <t>Earnisha Moore</t>
  </si>
  <si>
    <t>BWK.C1</t>
  </si>
  <si>
    <t>4645F142</t>
  </si>
  <si>
    <t>2025-08</t>
  </si>
  <si>
    <t>Cornelius Sherrod</t>
  </si>
  <si>
    <t>4648J255</t>
  </si>
  <si>
    <t>Widlyn Michel</t>
  </si>
  <si>
    <t>BWK.A2</t>
  </si>
  <si>
    <t>4654L264</t>
  </si>
  <si>
    <t>Frank Eguia Descarga</t>
  </si>
  <si>
    <t>4715D227</t>
  </si>
  <si>
    <t>Ronel Bernadin</t>
  </si>
  <si>
    <t>4662N278</t>
  </si>
  <si>
    <t>Joe Zurita</t>
  </si>
  <si>
    <t>4715D225</t>
  </si>
  <si>
    <t>Harmony Moreland</t>
  </si>
  <si>
    <t>4715D230</t>
  </si>
  <si>
    <t>Yan Lin Chen</t>
  </si>
  <si>
    <t>4666O189</t>
  </si>
  <si>
    <t>Josue Andrade</t>
  </si>
  <si>
    <t>4640H140</t>
  </si>
  <si>
    <t>Brittany White</t>
  </si>
  <si>
    <t>4636G134</t>
  </si>
  <si>
    <t>Julia Lucadello</t>
  </si>
  <si>
    <t>4755B217</t>
  </si>
  <si>
    <t>Brooke Bowers</t>
  </si>
  <si>
    <t>4662N277</t>
  </si>
  <si>
    <t>Nicole Quinn</t>
  </si>
  <si>
    <t>4655J161</t>
  </si>
  <si>
    <t>Darlene Barbera</t>
  </si>
  <si>
    <t>4615G246</t>
  </si>
  <si>
    <t>Gelacio Torres</t>
  </si>
  <si>
    <t>4655J164</t>
  </si>
  <si>
    <t>Javi Marcano Rohena</t>
  </si>
  <si>
    <t>4620A204</t>
  </si>
  <si>
    <t>2025-09</t>
  </si>
  <si>
    <t>Casey Hickman</t>
  </si>
  <si>
    <t>4632F130</t>
  </si>
  <si>
    <t>Louis Belton</t>
  </si>
  <si>
    <t>4662N176</t>
  </si>
  <si>
    <t>Shae Mcgee</t>
  </si>
  <si>
    <t>4715D130</t>
  </si>
  <si>
    <t>Latasha Angell</t>
  </si>
  <si>
    <t>4705L274</t>
  </si>
  <si>
    <t>Zane Wenger</t>
  </si>
  <si>
    <t>4715D127</t>
  </si>
  <si>
    <t>Valeria Davis</t>
  </si>
  <si>
    <t>4655J162</t>
  </si>
  <si>
    <t>Glaelle Vernet</t>
  </si>
  <si>
    <t>4666O288</t>
  </si>
  <si>
    <t>Kristin Gunn</t>
  </si>
  <si>
    <t>4640H136</t>
  </si>
  <si>
    <t>Hector Rivera</t>
  </si>
  <si>
    <t>4620A201</t>
  </si>
  <si>
    <t>Gabrielle Farrugia</t>
  </si>
  <si>
    <t>4658M272</t>
  </si>
  <si>
    <t>Kailea Hatton</t>
  </si>
  <si>
    <t>4620A101</t>
  </si>
  <si>
    <t>Igor Araujo</t>
  </si>
  <si>
    <t>4620A104</t>
  </si>
  <si>
    <t>Cooper Huskey</t>
  </si>
  <si>
    <t>4662N181</t>
  </si>
  <si>
    <t>Jhabreisha Pope</t>
  </si>
  <si>
    <t>4645F242</t>
  </si>
  <si>
    <t>Eude Jeudy</t>
  </si>
  <si>
    <t>4620A202</t>
  </si>
  <si>
    <t>2025-10</t>
  </si>
  <si>
    <t>Steven Newsome</t>
  </si>
  <si>
    <t>4632F127</t>
  </si>
  <si>
    <t>Biscelgia Scott- Riggins</t>
  </si>
  <si>
    <t>BWK.B1</t>
  </si>
  <si>
    <t>4675E131</t>
  </si>
  <si>
    <t>Ericka Valdes</t>
  </si>
  <si>
    <t>4645F243</t>
  </si>
  <si>
    <t>Sherrie Henderson</t>
  </si>
  <si>
    <t>4650K162</t>
  </si>
  <si>
    <t>Junior Bartholomew</t>
  </si>
  <si>
    <t>4625H151</t>
  </si>
  <si>
    <t>Jessica Miller</t>
  </si>
  <si>
    <t>4665K268</t>
  </si>
  <si>
    <t>Mauronise Fremond</t>
  </si>
  <si>
    <t>BWK.B3</t>
  </si>
  <si>
    <t>4626D215</t>
  </si>
  <si>
    <t>Betty Fleury</t>
  </si>
  <si>
    <t>4675E136</t>
  </si>
  <si>
    <t>4626D214</t>
  </si>
  <si>
    <t>Mikaya Florian</t>
  </si>
  <si>
    <t>4665K272</t>
  </si>
  <si>
    <t>Ashley Cortes</t>
  </si>
  <si>
    <t>4640H141</t>
  </si>
  <si>
    <t>2025-11</t>
  </si>
  <si>
    <t>Diana Diley</t>
  </si>
  <si>
    <t>4654L267</t>
  </si>
  <si>
    <t>Kaitlin French</t>
  </si>
  <si>
    <t>4755B218</t>
  </si>
  <si>
    <t>Joevany Rosa</t>
  </si>
  <si>
    <t>4655J165</t>
  </si>
  <si>
    <t>Richard Thomas</t>
  </si>
  <si>
    <t>4675E132</t>
  </si>
  <si>
    <t>Ethan Bravo</t>
  </si>
  <si>
    <t>4615G249</t>
  </si>
  <si>
    <t>Melanie Churchill</t>
  </si>
  <si>
    <t>4648J157</t>
  </si>
  <si>
    <t>Teresa Casen</t>
  </si>
  <si>
    <t>4715D129</t>
  </si>
  <si>
    <t>Kathryn Vient</t>
  </si>
  <si>
    <t>4626D217</t>
  </si>
  <si>
    <t>2025-12</t>
  </si>
  <si>
    <t>Cebariah Borden</t>
  </si>
  <si>
    <t>4658M273</t>
  </si>
  <si>
    <t>Jennifer Torres</t>
  </si>
  <si>
    <t>4620A103</t>
  </si>
  <si>
    <t>Sharon Walker</t>
  </si>
  <si>
    <t>4632F126</t>
  </si>
  <si>
    <t>Johnathan Alicea-Sanchez</t>
  </si>
  <si>
    <t>4632F227</t>
  </si>
  <si>
    <t>Jonathan Clark</t>
  </si>
  <si>
    <t>4755B213</t>
  </si>
  <si>
    <t>Atishia Lubrun</t>
  </si>
  <si>
    <t>4775A105</t>
  </si>
  <si>
    <t>Jetta Perez</t>
  </si>
  <si>
    <t>4654L168</t>
  </si>
  <si>
    <t>Stein Cadet</t>
  </si>
  <si>
    <t>4715D228</t>
  </si>
  <si>
    <t>Kyle Fullilove</t>
  </si>
  <si>
    <t>4775A209</t>
  </si>
  <si>
    <t>Mikayla Chambers</t>
  </si>
  <si>
    <t>4705L278</t>
  </si>
  <si>
    <t>Angeline Pierre Louis</t>
  </si>
  <si>
    <t>4666O289</t>
  </si>
  <si>
    <t>2026-01</t>
  </si>
  <si>
    <t>Damendy Saintelus</t>
  </si>
  <si>
    <t>4635I255</t>
  </si>
  <si>
    <t>Jacob Graber</t>
  </si>
  <si>
    <t>4755B216</t>
  </si>
  <si>
    <t>Dylan Cruikshank</t>
  </si>
  <si>
    <t>4625H254</t>
  </si>
  <si>
    <t>Quinyatta Neal</t>
  </si>
  <si>
    <t>4662N282</t>
  </si>
  <si>
    <t>Jarvis Simmons</t>
  </si>
  <si>
    <t>4775A109</t>
  </si>
  <si>
    <t>Edward Medlock</t>
  </si>
  <si>
    <t>4620A102</t>
  </si>
  <si>
    <t>Alanna Williams</t>
  </si>
  <si>
    <t>4640H135</t>
  </si>
  <si>
    <t>Yorman Vielma</t>
  </si>
  <si>
    <t>Seth Williams</t>
  </si>
  <si>
    <t>4615G147</t>
  </si>
  <si>
    <t>Sade Griffin</t>
  </si>
  <si>
    <t>4636G233</t>
  </si>
  <si>
    <t>Rihanna Hosang</t>
  </si>
  <si>
    <t>4626D116</t>
  </si>
  <si>
    <t>Roberta Williams</t>
  </si>
  <si>
    <t>4644I250</t>
  </si>
  <si>
    <t>Kiersten Carlisle</t>
  </si>
  <si>
    <t>4624C112</t>
  </si>
  <si>
    <t>Jesusa Cruz</t>
  </si>
  <si>
    <t>4665K269</t>
  </si>
  <si>
    <t>Victoria Reyes</t>
  </si>
  <si>
    <t>4735C221</t>
  </si>
  <si>
    <t>Gloria Duverne</t>
  </si>
  <si>
    <t>4626D117</t>
  </si>
  <si>
    <t>Vanesia Hyppolite</t>
  </si>
  <si>
    <t>4624C209</t>
  </si>
  <si>
    <t>Marlon Howell</t>
  </si>
  <si>
    <t>Austin Carver</t>
  </si>
  <si>
    <t>4662N179</t>
  </si>
  <si>
    <t>Deanna Baun</t>
  </si>
  <si>
    <t>4628E120</t>
  </si>
  <si>
    <t>Sydney Brown</t>
  </si>
  <si>
    <t>4775A104</t>
  </si>
  <si>
    <t>2026-02</t>
  </si>
  <si>
    <t>Kurt Weber</t>
  </si>
  <si>
    <t>Lynn Hollis</t>
  </si>
  <si>
    <t>4625H152</t>
  </si>
  <si>
    <t>James Hadley</t>
  </si>
  <si>
    <t>4775A208</t>
  </si>
  <si>
    <t>Alvaro Hidalgo Mendez</t>
  </si>
  <si>
    <t>4640H237</t>
  </si>
  <si>
    <t>Lily Carrillo</t>
  </si>
  <si>
    <t>4632F128</t>
  </si>
  <si>
    <t>Ashleigh Hall</t>
  </si>
  <si>
    <t>4635I257</t>
  </si>
  <si>
    <t>Darrien Shoulders</t>
  </si>
  <si>
    <t>4635I157</t>
  </si>
  <si>
    <t>David Riecks</t>
  </si>
  <si>
    <t>4775A101</t>
  </si>
  <si>
    <t>Ruggena Voltaire</t>
  </si>
  <si>
    <t>4624C211</t>
  </si>
  <si>
    <t>Dana Evans</t>
  </si>
  <si>
    <t>4662N177</t>
  </si>
  <si>
    <t>Ashley Sanders</t>
  </si>
  <si>
    <t>4625H154</t>
  </si>
  <si>
    <t>Francisco J Gonzalez</t>
  </si>
  <si>
    <t>4665K172</t>
  </si>
  <si>
    <t>Ronald Bentley Jr</t>
  </si>
  <si>
    <t>4648J158</t>
  </si>
  <si>
    <t>Jayla Gonzalez</t>
  </si>
  <si>
    <t>4705L175</t>
  </si>
  <si>
    <t>Cheyenne Warner</t>
  </si>
  <si>
    <t>4628E223</t>
  </si>
  <si>
    <t>Abel Hernandez Jr</t>
  </si>
  <si>
    <t>4636G232</t>
  </si>
  <si>
    <t>Kendrya Mcdonald</t>
  </si>
  <si>
    <t>4658M175</t>
  </si>
  <si>
    <t>Cory Baun</t>
  </si>
  <si>
    <t>4632F226</t>
  </si>
  <si>
    <t>Alexei Ramayo</t>
  </si>
  <si>
    <t>4635I158</t>
  </si>
  <si>
    <t>Dorianne Santiago</t>
  </si>
  <si>
    <t>4755B114</t>
  </si>
  <si>
    <t>2026-03</t>
  </si>
  <si>
    <t>Kayleigh East</t>
  </si>
  <si>
    <t>4775A106</t>
  </si>
  <si>
    <t>Jenesis Sanchez</t>
  </si>
  <si>
    <t>4632F228</t>
  </si>
  <si>
    <t>Rachel Madrigal</t>
  </si>
  <si>
    <t>4665K270</t>
  </si>
  <si>
    <t>Yvelisse Torres</t>
  </si>
  <si>
    <t>4658M271</t>
  </si>
  <si>
    <t>Thomas Ford</t>
  </si>
  <si>
    <t>4755B113</t>
  </si>
  <si>
    <t>Jose Cruz</t>
  </si>
  <si>
    <t>4662N276</t>
  </si>
  <si>
    <t>Litzebe Lebron</t>
  </si>
  <si>
    <t>4648J159</t>
  </si>
  <si>
    <t>Taylor White</t>
  </si>
  <si>
    <t>4624C212</t>
  </si>
  <si>
    <t>Thomas Mangum</t>
  </si>
  <si>
    <t>4755B115</t>
  </si>
  <si>
    <t>Jami Thomas</t>
  </si>
  <si>
    <t>4636G234</t>
  </si>
  <si>
    <t>Amanda Murphy</t>
  </si>
  <si>
    <t>4662N279</t>
  </si>
  <si>
    <t>Andrew Gebrehawariat</t>
  </si>
  <si>
    <t>Kiara Eaton</t>
  </si>
  <si>
    <t>Glen Almodovar</t>
  </si>
  <si>
    <t>4626D213</t>
  </si>
  <si>
    <t>Antonio Mendoza Jr</t>
  </si>
  <si>
    <t>4615G146</t>
  </si>
  <si>
    <t>Erin Hubbard</t>
  </si>
  <si>
    <t>Migdalia Cobos</t>
  </si>
  <si>
    <t>Rebecca Caries</t>
  </si>
  <si>
    <t>4662N281</t>
  </si>
  <si>
    <t>Marcie Griffin</t>
  </si>
  <si>
    <t>4705L177</t>
  </si>
  <si>
    <t>Jennifer Ruiz</t>
  </si>
  <si>
    <t>Mark Dodson</t>
  </si>
  <si>
    <t>4658M173</t>
  </si>
  <si>
    <t>Dontae Tersy</t>
  </si>
  <si>
    <t>4648J259</t>
  </si>
  <si>
    <t>Justice Wise</t>
  </si>
  <si>
    <t>4658M275</t>
  </si>
  <si>
    <t>Guil Celestin</t>
  </si>
  <si>
    <t>4628E222</t>
  </si>
  <si>
    <t>Valerie Martinez-Friedberg</t>
  </si>
  <si>
    <t>Alexis Trest</t>
  </si>
  <si>
    <t>4705L178</t>
  </si>
  <si>
    <t>Yunetsy Jimenez</t>
  </si>
  <si>
    <t>4705L276</t>
  </si>
  <si>
    <t>Elizabeth Arnold</t>
  </si>
  <si>
    <t>4675E235</t>
  </si>
  <si>
    <t>Jeremya Summers</t>
  </si>
  <si>
    <t>4622B107</t>
  </si>
  <si>
    <t>2026-04</t>
  </si>
  <si>
    <t>Annie Stones</t>
  </si>
  <si>
    <t>4635I260</t>
  </si>
  <si>
    <t>Marissa Flematti</t>
  </si>
  <si>
    <t>Audra Niles</t>
  </si>
  <si>
    <t>4632F125</t>
  </si>
  <si>
    <t>David Westberry</t>
  </si>
  <si>
    <t>4666O287</t>
  </si>
  <si>
    <t>Janette Talluto</t>
  </si>
  <si>
    <t>4626D216</t>
  </si>
  <si>
    <t>Cade Schwegman</t>
  </si>
  <si>
    <t>Vivian Corrales</t>
  </si>
  <si>
    <t>4665K168</t>
  </si>
  <si>
    <t>Cara-Constancia Hinds</t>
  </si>
  <si>
    <t>4640H138</t>
  </si>
  <si>
    <t>Anthony Santiago</t>
  </si>
  <si>
    <t>4640H245</t>
  </si>
  <si>
    <t>Marcus Stanley</t>
  </si>
  <si>
    <t>4644I149</t>
  </si>
  <si>
    <t>Josiah Bravo-Vasquez</t>
  </si>
  <si>
    <t>Dondre Phillips-Ingraham</t>
  </si>
  <si>
    <t>4755B112</t>
  </si>
  <si>
    <t>Asiah Brazil-Geyshick</t>
  </si>
  <si>
    <t>Janessa Gonzalez</t>
  </si>
  <si>
    <t>4648J257</t>
  </si>
  <si>
    <t>Contina Brand</t>
  </si>
  <si>
    <t>4655J261</t>
  </si>
  <si>
    <t>Abby Lyman</t>
  </si>
  <si>
    <t>4654L164</t>
  </si>
  <si>
    <t>2026-05</t>
  </si>
  <si>
    <t>Adrian Luna</t>
  </si>
  <si>
    <t>Moses De La Paz</t>
  </si>
  <si>
    <t>Valde Valdory</t>
  </si>
  <si>
    <t>4650K263</t>
  </si>
  <si>
    <t>Jasmine Munoz</t>
  </si>
  <si>
    <t>4644I153</t>
  </si>
  <si>
    <t>Laci Wilkinson</t>
  </si>
  <si>
    <t>4654L266</t>
  </si>
  <si>
    <t>Matheus Fiuza</t>
  </si>
  <si>
    <t>4666O187</t>
  </si>
  <si>
    <t>Meghan Brinker</t>
  </si>
  <si>
    <t>4636G231</t>
  </si>
  <si>
    <t>2026-06</t>
  </si>
  <si>
    <t>Joseph Yurkewitch</t>
  </si>
  <si>
    <t>4628E121</t>
  </si>
  <si>
    <t>Joshua Dinguis</t>
  </si>
  <si>
    <t>4654L165</t>
  </si>
  <si>
    <t>Sharmaine Brown</t>
  </si>
  <si>
    <t>4675E138</t>
  </si>
  <si>
    <t>Maria Torres Bauza</t>
  </si>
  <si>
    <t>4622B208</t>
  </si>
  <si>
    <t>Mia C Lane</t>
  </si>
  <si>
    <t>4715D226</t>
  </si>
  <si>
    <t>Brianna Pileeki</t>
  </si>
  <si>
    <t>Uttej Kumar Pentapati</t>
  </si>
  <si>
    <t>4735C123</t>
  </si>
  <si>
    <t>Ronald Fernandez Lay</t>
  </si>
  <si>
    <t>4775A103</t>
  </si>
  <si>
    <t>Briyarn Beauflan</t>
  </si>
  <si>
    <t>4644I151</t>
  </si>
  <si>
    <t>Olga Jasinska</t>
  </si>
  <si>
    <t>John Parrott</t>
  </si>
  <si>
    <t>4640H235</t>
  </si>
  <si>
    <t>Gregory Mcmurrin</t>
  </si>
  <si>
    <t>4658M171</t>
  </si>
  <si>
    <t>Property Name</t>
  </si>
  <si>
    <t>Floorplan Name</t>
  </si>
  <si>
    <t>Unit #</t>
  </si>
  <si>
    <t>Beds</t>
  </si>
  <si>
    <t>Baths</t>
  </si>
  <si>
    <t>First Listed</t>
  </si>
  <si>
    <t>Leased Date</t>
  </si>
  <si>
    <t>Days on Mkt</t>
  </si>
  <si>
    <t>Asking Rent</t>
  </si>
  <si>
    <t>Asking PSF</t>
  </si>
  <si>
    <t>39 Acres</t>
  </si>
  <si>
    <t>B3</t>
  </si>
  <si>
    <t>1704</t>
  </si>
  <si>
    <t>Coral Cove</t>
  </si>
  <si>
    <t>2BR-2</t>
  </si>
  <si>
    <t>0522</t>
  </si>
  <si>
    <t>The Park at Positano</t>
  </si>
  <si>
    <t>Venice - Rehab</t>
  </si>
  <si>
    <t>25-207</t>
  </si>
  <si>
    <t>A3</t>
  </si>
  <si>
    <t>1303</t>
  </si>
  <si>
    <t>Brantley Pines Apartments</t>
  </si>
  <si>
    <t>2BD / 2BR - 958 sqft</t>
  </si>
  <si>
    <t>1011</t>
  </si>
  <si>
    <t>The Park at Veneto</t>
  </si>
  <si>
    <t>1 Bed 1 Bath Large - Partial R</t>
  </si>
  <si>
    <t>11-104</t>
  </si>
  <si>
    <t>B1</t>
  </si>
  <si>
    <t>1408</t>
  </si>
  <si>
    <t>1BD / 1BR - 732 sqft</t>
  </si>
  <si>
    <t>1311</t>
  </si>
  <si>
    <t>The Laurels</t>
  </si>
  <si>
    <t>The Palms</t>
  </si>
  <si>
    <t>A210</t>
  </si>
  <si>
    <t>2BD / 2BR - 1029 sqft</t>
  </si>
  <si>
    <t>1612</t>
  </si>
  <si>
    <t>Aria Landings</t>
  </si>
  <si>
    <t>One Bedroom</t>
  </si>
  <si>
    <t>4058-202</t>
  </si>
  <si>
    <t>F204</t>
  </si>
  <si>
    <t>2BR-3</t>
  </si>
  <si>
    <t>1133</t>
  </si>
  <si>
    <t>Westchase</t>
  </si>
  <si>
    <t>2x2</t>
  </si>
  <si>
    <t>10-1033</t>
  </si>
  <si>
    <t>The Park at Murano</t>
  </si>
  <si>
    <t>Two Bed Two Bath A</t>
  </si>
  <si>
    <t>1577-11</t>
  </si>
  <si>
    <t>1 Bed 1 Bath Small - Partial R</t>
  </si>
  <si>
    <t>01-204</t>
  </si>
  <si>
    <t>2010</t>
  </si>
  <si>
    <t>43-202</t>
  </si>
  <si>
    <t>910</t>
  </si>
  <si>
    <t>2BR-1</t>
  </si>
  <si>
    <t>0614</t>
  </si>
  <si>
    <t>The Breeze</t>
  </si>
  <si>
    <t>D105</t>
  </si>
  <si>
    <t>1109</t>
  </si>
  <si>
    <t>J103</t>
  </si>
  <si>
    <t>2 Bed 1 Bath Large - Rehab</t>
  </si>
  <si>
    <t>08-202</t>
  </si>
  <si>
    <t>2 Bed 2 Bath Small - Rehab</t>
  </si>
  <si>
    <t>06-207</t>
  </si>
  <si>
    <t>714</t>
  </si>
  <si>
    <t>1312</t>
  </si>
  <si>
    <t>2013</t>
  </si>
  <si>
    <t>3BD / 2BR - 1345 sqft</t>
  </si>
  <si>
    <t>1602</t>
  </si>
  <si>
    <t>1307</t>
  </si>
  <si>
    <t>One Bed One Bath - Rehab</t>
  </si>
  <si>
    <t>4725-03</t>
  </si>
  <si>
    <t>2204</t>
  </si>
  <si>
    <t>Two Bed Two Bath B</t>
  </si>
  <si>
    <t>4785-37</t>
  </si>
  <si>
    <t>Two Bed Two Bath B - Partial R</t>
  </si>
  <si>
    <t>4785-10</t>
  </si>
  <si>
    <t>Two Bed Two Bath A - Partial R</t>
  </si>
  <si>
    <t>1577-06</t>
  </si>
  <si>
    <t>2003</t>
  </si>
  <si>
    <t>4745-02</t>
  </si>
  <si>
    <t>Two Bed Two Bath B - Rehab</t>
  </si>
  <si>
    <t>4785-04</t>
  </si>
  <si>
    <t>Naples - Partial Rehab</t>
  </si>
  <si>
    <t>29-204</t>
  </si>
  <si>
    <t>Naples - Rehab</t>
  </si>
  <si>
    <t>51-201</t>
  </si>
  <si>
    <t>45-107</t>
  </si>
  <si>
    <t>B204</t>
  </si>
  <si>
    <t>1310</t>
  </si>
  <si>
    <t>1BD / 1BR - 602 sqft</t>
  </si>
  <si>
    <t>1215</t>
  </si>
  <si>
    <t>0610</t>
  </si>
  <si>
    <t>A1</t>
  </si>
  <si>
    <t>0509</t>
  </si>
  <si>
    <t>1313</t>
  </si>
  <si>
    <t>1406</t>
  </si>
  <si>
    <t>0204</t>
  </si>
  <si>
    <t>611</t>
  </si>
  <si>
    <t>B106</t>
  </si>
  <si>
    <t>55-103</t>
  </si>
  <si>
    <t>1x1</t>
  </si>
  <si>
    <t>Westwood Apartments</t>
  </si>
  <si>
    <t>Two Bedroom Two Bathroom 60%</t>
  </si>
  <si>
    <t>07-7302</t>
  </si>
  <si>
    <t>2315</t>
  </si>
  <si>
    <t>0235</t>
  </si>
  <si>
    <t>0631</t>
  </si>
  <si>
    <t>M110</t>
  </si>
  <si>
    <t>03-3203</t>
  </si>
  <si>
    <t>12-12304</t>
  </si>
  <si>
    <t>1 Bed 1 Bath Large - Rehab</t>
  </si>
  <si>
    <t>07-303</t>
  </si>
  <si>
    <t>3BD / 2BR - 1166 sqft</t>
  </si>
  <si>
    <t>503</t>
  </si>
  <si>
    <t>10-102</t>
  </si>
  <si>
    <t>0609</t>
  </si>
  <si>
    <t>B2</t>
  </si>
  <si>
    <t>1807</t>
  </si>
  <si>
    <t>K214</t>
  </si>
  <si>
    <t>1583-04</t>
  </si>
  <si>
    <t>4711-10</t>
  </si>
  <si>
    <t>Naples</t>
  </si>
  <si>
    <t>27-105</t>
  </si>
  <si>
    <t>14-1434</t>
  </si>
  <si>
    <t>H201</t>
  </si>
  <si>
    <t>4735-02</t>
  </si>
  <si>
    <t>1 Bed 1 Bath Large</t>
  </si>
  <si>
    <t>01-202</t>
  </si>
  <si>
    <t>06-108</t>
  </si>
  <si>
    <t>3x2</t>
  </si>
  <si>
    <t>10-1020</t>
  </si>
  <si>
    <t>39-103</t>
  </si>
  <si>
    <t>412</t>
  </si>
  <si>
    <t>0334</t>
  </si>
  <si>
    <t>45-203</t>
  </si>
  <si>
    <t>1112</t>
  </si>
  <si>
    <t>1309</t>
  </si>
  <si>
    <t>1009</t>
  </si>
  <si>
    <t>102</t>
  </si>
  <si>
    <t>504</t>
  </si>
  <si>
    <t>One Bed One Bath</t>
  </si>
  <si>
    <t>1573-09</t>
  </si>
  <si>
    <t>G201</t>
  </si>
  <si>
    <t>51-105</t>
  </si>
  <si>
    <t>0913</t>
  </si>
  <si>
    <t>K213</t>
  </si>
  <si>
    <t>Three Bedroom</t>
  </si>
  <si>
    <t>4725-10</t>
  </si>
  <si>
    <t>51-205</t>
  </si>
  <si>
    <t>0708</t>
  </si>
  <si>
    <t>Two Bed Two Bath  TH - Rehab</t>
  </si>
  <si>
    <t>1585-06</t>
  </si>
  <si>
    <t>3 Bed 2 Bath - Partial Rehab</t>
  </si>
  <si>
    <t>03-204</t>
  </si>
  <si>
    <t>4014-201</t>
  </si>
  <si>
    <t>1577-31</t>
  </si>
  <si>
    <t>2 Bed 1 Bath Small - Partial R</t>
  </si>
  <si>
    <t>04-302</t>
  </si>
  <si>
    <t>2215</t>
  </si>
  <si>
    <t>07-311</t>
  </si>
  <si>
    <t>2 Bed 1 Bath Small - Rehab</t>
  </si>
  <si>
    <t>04-102</t>
  </si>
  <si>
    <t>2 Bed 2 Bath Small</t>
  </si>
  <si>
    <t>06-110</t>
  </si>
  <si>
    <t>03-103</t>
  </si>
  <si>
    <t>01-103</t>
  </si>
  <si>
    <t>808</t>
  </si>
  <si>
    <t>2411</t>
  </si>
  <si>
    <t>Two Bedroom</t>
  </si>
  <si>
    <t>4052-203</t>
  </si>
  <si>
    <t>0721</t>
  </si>
  <si>
    <t>1213</t>
  </si>
  <si>
    <t>1608</t>
  </si>
  <si>
    <t>4010-207</t>
  </si>
  <si>
    <t>Two Bed Two Bath A - Rehab</t>
  </si>
  <si>
    <t>1577-04</t>
  </si>
  <si>
    <t>02-220</t>
  </si>
  <si>
    <t>4054-103</t>
  </si>
  <si>
    <t>07-103</t>
  </si>
  <si>
    <t>07-204</t>
  </si>
  <si>
    <t>02-202</t>
  </si>
  <si>
    <t>D207</t>
  </si>
  <si>
    <t>2 Bed 1 Bath Small</t>
  </si>
  <si>
    <t>08-204</t>
  </si>
  <si>
    <t>05-204</t>
  </si>
  <si>
    <t>2107</t>
  </si>
  <si>
    <t>25-202</t>
  </si>
  <si>
    <t>04-410</t>
  </si>
  <si>
    <t>G104</t>
  </si>
  <si>
    <t>06-210</t>
  </si>
  <si>
    <t>1583-06</t>
  </si>
  <si>
    <t>01-107</t>
  </si>
  <si>
    <t>Milan</t>
  </si>
  <si>
    <t>47-105</t>
  </si>
  <si>
    <t>902</t>
  </si>
  <si>
    <t>404</t>
  </si>
  <si>
    <t>0215</t>
  </si>
  <si>
    <t>411</t>
  </si>
  <si>
    <t>1502</t>
  </si>
  <si>
    <t>One Bed One Bath - Partial Reh</t>
  </si>
  <si>
    <t>1577-23</t>
  </si>
  <si>
    <t>06-103</t>
  </si>
  <si>
    <t>4785-32</t>
  </si>
  <si>
    <t>1803</t>
  </si>
  <si>
    <t>4034-202</t>
  </si>
  <si>
    <t>35-203</t>
  </si>
  <si>
    <t>39-206</t>
  </si>
  <si>
    <t>11-110</t>
  </si>
  <si>
    <t>08-835</t>
  </si>
  <si>
    <t>1903</t>
  </si>
  <si>
    <t>A205</t>
  </si>
  <si>
    <t>07-207</t>
  </si>
  <si>
    <t>0310</t>
  </si>
  <si>
    <t>0713</t>
  </si>
  <si>
    <t>814</t>
  </si>
  <si>
    <t>4715-09</t>
  </si>
  <si>
    <t>35-201</t>
  </si>
  <si>
    <t>29-201</t>
  </si>
  <si>
    <t>Two Bed Two Bath TH</t>
  </si>
  <si>
    <t>4711-06</t>
  </si>
  <si>
    <t>02-208</t>
  </si>
  <si>
    <t>02-209</t>
  </si>
  <si>
    <t>1583-02</t>
  </si>
  <si>
    <t>01-106</t>
  </si>
  <si>
    <t>02-107</t>
  </si>
  <si>
    <t>One Bedroom One Bathroom 60%</t>
  </si>
  <si>
    <t>10-10302</t>
  </si>
  <si>
    <t>06-6205</t>
  </si>
  <si>
    <t>Three Bedroom Two Bathroom 60%</t>
  </si>
  <si>
    <t>03-3201</t>
  </si>
  <si>
    <t>4785-24</t>
  </si>
  <si>
    <t>1 Bed 1 Bath Small</t>
  </si>
  <si>
    <t>10-105</t>
  </si>
  <si>
    <t>11-309</t>
  </si>
  <si>
    <t>05-203</t>
  </si>
  <si>
    <t>The Wave</t>
  </si>
  <si>
    <t>J101</t>
  </si>
  <si>
    <t>02-108</t>
  </si>
  <si>
    <t>0810</t>
  </si>
  <si>
    <t>G204</t>
  </si>
  <si>
    <t>H205</t>
  </si>
  <si>
    <t>1577-29</t>
  </si>
  <si>
    <t>Venice</t>
  </si>
  <si>
    <t>41-203</t>
  </si>
  <si>
    <t>25-203</t>
  </si>
  <si>
    <t>25-208</t>
  </si>
  <si>
    <t>05-303</t>
  </si>
  <si>
    <t>1306</t>
  </si>
  <si>
    <t>L103</t>
  </si>
  <si>
    <t>1907</t>
  </si>
  <si>
    <t>1573-01</t>
  </si>
  <si>
    <t>31-208</t>
  </si>
  <si>
    <t>08-106</t>
  </si>
  <si>
    <t>1503</t>
  </si>
  <si>
    <t>2701</t>
  </si>
  <si>
    <t>2410</t>
  </si>
  <si>
    <t>813</t>
  </si>
  <si>
    <t>1513</t>
  </si>
  <si>
    <t>13-1317</t>
  </si>
  <si>
    <t>1512</t>
  </si>
  <si>
    <t>1915</t>
  </si>
  <si>
    <t>1107</t>
  </si>
  <si>
    <t>1004</t>
  </si>
  <si>
    <t>1585-01</t>
  </si>
  <si>
    <t>1575-11</t>
  </si>
  <si>
    <t>0408</t>
  </si>
  <si>
    <t>1111</t>
  </si>
  <si>
    <t>2403</t>
  </si>
  <si>
    <t>0716</t>
  </si>
  <si>
    <t>1577-17</t>
  </si>
  <si>
    <t>4785-11</t>
  </si>
  <si>
    <t>33-203</t>
  </si>
  <si>
    <t>1501</t>
  </si>
  <si>
    <t>D110</t>
  </si>
  <si>
    <t>23-202</t>
  </si>
  <si>
    <t>2114</t>
  </si>
  <si>
    <t>1506</t>
  </si>
  <si>
    <t>0410</t>
  </si>
  <si>
    <t>J105</t>
  </si>
  <si>
    <t>2602</t>
  </si>
  <si>
    <t>C215</t>
  </si>
  <si>
    <t>C104</t>
  </si>
  <si>
    <t>4711-01</t>
  </si>
  <si>
    <t>07-210</t>
  </si>
  <si>
    <t>A2</t>
  </si>
  <si>
    <t>2502</t>
  </si>
  <si>
    <t>1415</t>
  </si>
  <si>
    <t>0208</t>
  </si>
  <si>
    <t>1403</t>
  </si>
  <si>
    <t>1714</t>
  </si>
  <si>
    <t>1615</t>
  </si>
  <si>
    <t>0937</t>
  </si>
  <si>
    <t>0322</t>
  </si>
  <si>
    <t>37-107</t>
  </si>
  <si>
    <t>06-309</t>
  </si>
  <si>
    <t>07-105</t>
  </si>
  <si>
    <t>1114</t>
  </si>
  <si>
    <t>51-204</t>
  </si>
  <si>
    <t>301</t>
  </si>
  <si>
    <t>807</t>
  </si>
  <si>
    <t>0832</t>
  </si>
  <si>
    <t>M203</t>
  </si>
  <si>
    <t>1808</t>
  </si>
  <si>
    <t>1203</t>
  </si>
  <si>
    <t>1208</t>
  </si>
  <si>
    <t>J210</t>
  </si>
  <si>
    <t>B206</t>
  </si>
  <si>
    <t>0302</t>
  </si>
  <si>
    <t>A103</t>
  </si>
  <si>
    <t>0212</t>
  </si>
  <si>
    <t>06-205</t>
  </si>
  <si>
    <t>2310</t>
  </si>
  <si>
    <t>2405</t>
  </si>
  <si>
    <t>1812</t>
  </si>
  <si>
    <t>M204</t>
  </si>
  <si>
    <t>1703</t>
  </si>
  <si>
    <t>4058-205</t>
  </si>
  <si>
    <t>09-203</t>
  </si>
  <si>
    <t>0510</t>
  </si>
  <si>
    <t>0902</t>
  </si>
  <si>
    <t>1806</t>
  </si>
  <si>
    <t>L213</t>
  </si>
  <si>
    <t>02-106</t>
  </si>
  <si>
    <t>1906</t>
  </si>
  <si>
    <t>06-204</t>
  </si>
  <si>
    <t>0611</t>
  </si>
  <si>
    <t>1210</t>
  </si>
  <si>
    <t>105</t>
  </si>
  <si>
    <t>1909</t>
  </si>
  <si>
    <t>K108</t>
  </si>
  <si>
    <t>4765-08</t>
  </si>
  <si>
    <t>713</t>
  </si>
  <si>
    <t>109</t>
  </si>
  <si>
    <t>1911</t>
  </si>
  <si>
    <t>1014</t>
  </si>
  <si>
    <t>3BR-1</t>
  </si>
  <si>
    <t>0217</t>
  </si>
  <si>
    <t>Venice - Partial Rehab</t>
  </si>
  <si>
    <t>43-203</t>
  </si>
  <si>
    <t>02-110</t>
  </si>
  <si>
    <t>3 Bed 2 Bath - Rehab</t>
  </si>
  <si>
    <t>05-302</t>
  </si>
  <si>
    <t>4028-203</t>
  </si>
  <si>
    <t>1577-18</t>
  </si>
  <si>
    <t>2112</t>
  </si>
  <si>
    <t>1201</t>
  </si>
  <si>
    <t>07-202</t>
  </si>
  <si>
    <t>0113</t>
  </si>
  <si>
    <t>1103</t>
  </si>
  <si>
    <t>1510</t>
  </si>
  <si>
    <t>1701</t>
  </si>
  <si>
    <t>09-102</t>
  </si>
  <si>
    <t>12-1233</t>
  </si>
  <si>
    <t>51-103</t>
  </si>
  <si>
    <t>1606</t>
  </si>
  <si>
    <t>41-101</t>
  </si>
  <si>
    <t>2716</t>
  </si>
  <si>
    <t>2314</t>
  </si>
  <si>
    <t>315</t>
  </si>
  <si>
    <t>609</t>
  </si>
  <si>
    <t>1113</t>
  </si>
  <si>
    <t>06-308</t>
  </si>
  <si>
    <t>09-913</t>
  </si>
  <si>
    <t>1604</t>
  </si>
  <si>
    <t>49-102</t>
  </si>
  <si>
    <t>02-225</t>
  </si>
  <si>
    <t>0907</t>
  </si>
  <si>
    <t>0711</t>
  </si>
  <si>
    <t>43-205</t>
  </si>
  <si>
    <t>2006</t>
  </si>
  <si>
    <t>4026-103</t>
  </si>
  <si>
    <t>Four Bedroom</t>
  </si>
  <si>
    <t>4030-204</t>
  </si>
  <si>
    <t>408</t>
  </si>
  <si>
    <t>1705</t>
  </si>
  <si>
    <t>505</t>
  </si>
  <si>
    <t>1616</t>
  </si>
  <si>
    <t>J208</t>
  </si>
  <si>
    <t>2015</t>
  </si>
  <si>
    <t>2008</t>
  </si>
  <si>
    <t>C207</t>
  </si>
  <si>
    <t>2 Bed 1 Bath Large</t>
  </si>
  <si>
    <t>08-307</t>
  </si>
  <si>
    <t>B205</t>
  </si>
  <si>
    <t>1577-21</t>
  </si>
  <si>
    <t>4755-10</t>
  </si>
  <si>
    <t>1902</t>
  </si>
  <si>
    <t>4020-202</t>
  </si>
  <si>
    <t>4024-104</t>
  </si>
  <si>
    <t>B110</t>
  </si>
  <si>
    <t>4735-10</t>
  </si>
  <si>
    <t>06-613</t>
  </si>
  <si>
    <t>4775-03</t>
  </si>
  <si>
    <t>1577-22</t>
  </si>
  <si>
    <t>39-208</t>
  </si>
  <si>
    <t>2216</t>
  </si>
  <si>
    <t>0325</t>
  </si>
  <si>
    <t>55-105</t>
  </si>
  <si>
    <t>51-104</t>
  </si>
  <si>
    <t>27-208</t>
  </si>
  <si>
    <t>04-201</t>
  </si>
  <si>
    <t>4002-205</t>
  </si>
  <si>
    <t>4040-202</t>
  </si>
  <si>
    <t>703</t>
  </si>
  <si>
    <t>10-1022</t>
  </si>
  <si>
    <t>13-1326</t>
  </si>
  <si>
    <t>1404</t>
  </si>
  <si>
    <t>0403</t>
  </si>
  <si>
    <t>C205</t>
  </si>
  <si>
    <t>1115</t>
  </si>
  <si>
    <t>0901</t>
  </si>
  <si>
    <t>10-205</t>
  </si>
  <si>
    <t>11-201</t>
  </si>
  <si>
    <t>03-335</t>
  </si>
  <si>
    <t>09-106</t>
  </si>
  <si>
    <t>0502</t>
  </si>
  <si>
    <t>1012</t>
  </si>
  <si>
    <t>1575-01</t>
  </si>
  <si>
    <t>21-103</t>
  </si>
  <si>
    <t>2 Bed 2 Bath Large</t>
  </si>
  <si>
    <t>04-106</t>
  </si>
  <si>
    <t>11-1112</t>
  </si>
  <si>
    <t>0307</t>
  </si>
  <si>
    <t>K210</t>
  </si>
  <si>
    <t>1901</t>
  </si>
  <si>
    <t>1511</t>
  </si>
  <si>
    <t>53-205</t>
  </si>
  <si>
    <t>1573-06</t>
  </si>
  <si>
    <t>0715</t>
  </si>
  <si>
    <t>08-108</t>
  </si>
  <si>
    <t>02-201</t>
  </si>
  <si>
    <t>2415</t>
  </si>
  <si>
    <t>14-1412</t>
  </si>
  <si>
    <t>4711-07</t>
  </si>
  <si>
    <t>4735-03</t>
  </si>
  <si>
    <t>51-106</t>
  </si>
  <si>
    <t>14-1431</t>
  </si>
  <si>
    <t>0805</t>
  </si>
  <si>
    <t>0401</t>
  </si>
  <si>
    <t>1571-01</t>
  </si>
  <si>
    <t>05-102</t>
  </si>
  <si>
    <t>2305</t>
  </si>
  <si>
    <t>501</t>
  </si>
  <si>
    <t>0420</t>
  </si>
  <si>
    <t>13-1333</t>
  </si>
  <si>
    <t>2116</t>
  </si>
  <si>
    <t>55-201</t>
  </si>
  <si>
    <t>2001</t>
  </si>
  <si>
    <t>4004-203</t>
  </si>
  <si>
    <t>4785-28</t>
  </si>
  <si>
    <t>4745-04</t>
  </si>
  <si>
    <t>39-101</t>
  </si>
  <si>
    <t>07-109</t>
  </si>
  <si>
    <t>05-535</t>
  </si>
  <si>
    <t>C209</t>
  </si>
  <si>
    <t>B209</t>
  </si>
  <si>
    <t>1315</t>
  </si>
  <si>
    <t>114</t>
  </si>
  <si>
    <t>C203</t>
  </si>
  <si>
    <t>D206</t>
  </si>
  <si>
    <t>07-110</t>
  </si>
  <si>
    <t>03-104</t>
  </si>
  <si>
    <t>01-301</t>
  </si>
  <si>
    <t>1516</t>
  </si>
  <si>
    <t>2BR-1P</t>
  </si>
  <si>
    <t>3BR-2P</t>
  </si>
  <si>
    <t>1126</t>
  </si>
  <si>
    <t>4715-03</t>
  </si>
  <si>
    <t>39-204</t>
  </si>
  <si>
    <t>12-1221</t>
  </si>
  <si>
    <t>07-721</t>
  </si>
  <si>
    <t>15-1527</t>
  </si>
  <si>
    <t>1102</t>
  </si>
  <si>
    <t>14-1432</t>
  </si>
  <si>
    <t>10-1013</t>
  </si>
  <si>
    <t>06-631</t>
  </si>
  <si>
    <t>09-937</t>
  </si>
  <si>
    <t>04-423</t>
  </si>
  <si>
    <t>11-1137</t>
  </si>
  <si>
    <t>15-1520</t>
  </si>
  <si>
    <t>12-1217</t>
  </si>
  <si>
    <t>13-1320</t>
  </si>
  <si>
    <t>04-421</t>
  </si>
  <si>
    <t>05-520</t>
  </si>
  <si>
    <t>10-1026</t>
  </si>
  <si>
    <t>13-1311</t>
  </si>
  <si>
    <t>4020-107</t>
  </si>
  <si>
    <t>201</t>
  </si>
  <si>
    <t>E102</t>
  </si>
  <si>
    <t>1585-02</t>
  </si>
  <si>
    <t>4054-204</t>
  </si>
  <si>
    <t>47-103</t>
  </si>
  <si>
    <t>4052-104</t>
  </si>
  <si>
    <t>35-105</t>
  </si>
  <si>
    <t>07-201</t>
  </si>
  <si>
    <t>0536</t>
  </si>
  <si>
    <t>0520</t>
  </si>
  <si>
    <t>3BR-3</t>
  </si>
  <si>
    <t>0130</t>
  </si>
  <si>
    <t>0110</t>
  </si>
  <si>
    <t>2412</t>
  </si>
  <si>
    <t>4016-204</t>
  </si>
  <si>
    <t>0726</t>
  </si>
  <si>
    <t>4703-01</t>
  </si>
  <si>
    <t>407</t>
  </si>
  <si>
    <t>110</t>
  </si>
  <si>
    <t>07-307</t>
  </si>
  <si>
    <t>1305</t>
  </si>
  <si>
    <t>E103</t>
  </si>
  <si>
    <t>06-201</t>
  </si>
  <si>
    <t>0430</t>
  </si>
  <si>
    <t>0323</t>
  </si>
  <si>
    <t>0336</t>
  </si>
  <si>
    <t>J106</t>
  </si>
  <si>
    <t>29-206</t>
  </si>
  <si>
    <t>02-104</t>
  </si>
  <si>
    <t>11-206</t>
  </si>
  <si>
    <t>1514</t>
  </si>
  <si>
    <t>4715-01</t>
  </si>
  <si>
    <t>212</t>
  </si>
  <si>
    <t>1007</t>
  </si>
  <si>
    <t>21-205</t>
  </si>
  <si>
    <t>K201</t>
  </si>
  <si>
    <t>1610</t>
  </si>
  <si>
    <t>0527</t>
  </si>
  <si>
    <t>0333</t>
  </si>
  <si>
    <t>0136</t>
  </si>
  <si>
    <t>0216</t>
  </si>
  <si>
    <t>2504</t>
  </si>
  <si>
    <t>2106</t>
  </si>
  <si>
    <t>2201</t>
  </si>
  <si>
    <t>0908</t>
  </si>
  <si>
    <t>1816</t>
  </si>
  <si>
    <t>1614</t>
  </si>
  <si>
    <t>4040-203</t>
  </si>
  <si>
    <t>0625</t>
  </si>
  <si>
    <t>0720</t>
  </si>
  <si>
    <t>3BR-3P</t>
  </si>
  <si>
    <t>1136</t>
  </si>
  <si>
    <t>1407</t>
  </si>
  <si>
    <t>0402</t>
  </si>
  <si>
    <t>0433</t>
  </si>
  <si>
    <t>C212</t>
  </si>
  <si>
    <t>1 Bed 1 Bath Small - Rehab</t>
  </si>
  <si>
    <t>01-104</t>
  </si>
  <si>
    <t>08-203</t>
  </si>
  <si>
    <t>F101</t>
  </si>
  <si>
    <t>H204</t>
  </si>
  <si>
    <t>4785-26</t>
  </si>
  <si>
    <t>0503</t>
  </si>
  <si>
    <t>4010-101</t>
  </si>
  <si>
    <t>707</t>
  </si>
  <si>
    <t>0925</t>
  </si>
  <si>
    <t>53-203</t>
  </si>
  <si>
    <t>L211</t>
  </si>
  <si>
    <t>A211</t>
  </si>
  <si>
    <t>901</t>
  </si>
  <si>
    <t>H103</t>
  </si>
  <si>
    <t>55-104</t>
  </si>
  <si>
    <t>1905</t>
  </si>
  <si>
    <t>43-103</t>
  </si>
  <si>
    <t>1416</t>
  </si>
  <si>
    <t>2307</t>
  </si>
  <si>
    <t>4002-104</t>
  </si>
  <si>
    <t>4036-104</t>
  </si>
  <si>
    <t>47-205</t>
  </si>
  <si>
    <t>414</t>
  </si>
  <si>
    <t>G203</t>
  </si>
  <si>
    <t>03-201</t>
  </si>
  <si>
    <t>0607</t>
  </si>
  <si>
    <t>0904</t>
  </si>
  <si>
    <t>4036-103</t>
  </si>
  <si>
    <t>1030</t>
  </si>
  <si>
    <t>B214</t>
  </si>
  <si>
    <t>4703-08</t>
  </si>
  <si>
    <t>01-308</t>
  </si>
  <si>
    <t>07-209</t>
  </si>
  <si>
    <t>4042-108</t>
  </si>
  <si>
    <t>4038-204</t>
  </si>
  <si>
    <t>C204</t>
  </si>
  <si>
    <t>L207</t>
  </si>
  <si>
    <t>0406</t>
  </si>
  <si>
    <t>0305</t>
  </si>
  <si>
    <t>4735-04</t>
  </si>
  <si>
    <t>37-205</t>
  </si>
  <si>
    <t>612</t>
  </si>
  <si>
    <t>502</t>
  </si>
  <si>
    <t>E206</t>
  </si>
  <si>
    <t>D212</t>
  </si>
  <si>
    <t>05-206</t>
  </si>
  <si>
    <t>0811</t>
  </si>
  <si>
    <t>2404</t>
  </si>
  <si>
    <t>10-207</t>
  </si>
  <si>
    <t>02-207</t>
  </si>
  <si>
    <t>11-107</t>
  </si>
  <si>
    <t>04-306</t>
  </si>
  <si>
    <t>Milan - Rehab</t>
  </si>
  <si>
    <t>49-205</t>
  </si>
  <si>
    <t>4042-105</t>
  </si>
  <si>
    <t>4030-104</t>
  </si>
  <si>
    <t>1233</t>
  </si>
  <si>
    <t>A204</t>
  </si>
  <si>
    <t>K202</t>
  </si>
  <si>
    <t>53-206</t>
  </si>
  <si>
    <t>07-205</t>
  </si>
  <si>
    <t>1202</t>
  </si>
  <si>
    <t>2202</t>
  </si>
  <si>
    <t>25-108</t>
  </si>
  <si>
    <t>49-106</t>
  </si>
  <si>
    <t>53-101</t>
  </si>
  <si>
    <t>06-307</t>
  </si>
  <si>
    <t>A215</t>
  </si>
  <si>
    <t>C105</t>
  </si>
  <si>
    <t>45-202</t>
  </si>
  <si>
    <t>23-102</t>
  </si>
  <si>
    <t>21-207</t>
  </si>
  <si>
    <t>11-103</t>
  </si>
  <si>
    <t>2108</t>
  </si>
  <si>
    <t>49-101</t>
  </si>
  <si>
    <t>41-103</t>
  </si>
  <si>
    <t>27-202</t>
  </si>
  <si>
    <t>23-105</t>
  </si>
  <si>
    <t>27-203</t>
  </si>
  <si>
    <t>21-204</t>
  </si>
  <si>
    <t>02-210</t>
  </si>
  <si>
    <t>06-107</t>
  </si>
  <si>
    <t>4054-206</t>
  </si>
  <si>
    <t>1005</t>
  </si>
  <si>
    <t>1904</t>
  </si>
  <si>
    <t>35-104</t>
  </si>
  <si>
    <t>2 Bed 1 Bath Large - Partial R</t>
  </si>
  <si>
    <t>06-212</t>
  </si>
  <si>
    <t>08-306</t>
  </si>
  <si>
    <t>0807</t>
  </si>
  <si>
    <t>2014</t>
  </si>
  <si>
    <t>2BR-2P</t>
  </si>
  <si>
    <t>1222</t>
  </si>
  <si>
    <t>37-104</t>
  </si>
  <si>
    <t>2012</t>
  </si>
  <si>
    <t>C101</t>
  </si>
  <si>
    <t>Milan - Partial Rehab</t>
  </si>
  <si>
    <t>47-101</t>
  </si>
  <si>
    <t>29-103</t>
  </si>
  <si>
    <t>11-208</t>
  </si>
  <si>
    <t>10-101</t>
  </si>
  <si>
    <t>06-104</t>
  </si>
  <si>
    <t>02-102</t>
  </si>
  <si>
    <t>02-303</t>
  </si>
  <si>
    <t>1505</t>
  </si>
  <si>
    <t>K209</t>
  </si>
  <si>
    <t>41-205</t>
  </si>
  <si>
    <t>07-102</t>
  </si>
  <si>
    <t>0525</t>
  </si>
  <si>
    <t>0330</t>
  </si>
  <si>
    <t>1583-05</t>
  </si>
  <si>
    <t>25-105</t>
  </si>
  <si>
    <t>07-302</t>
  </si>
  <si>
    <t>2011</t>
  </si>
  <si>
    <t>2711</t>
  </si>
  <si>
    <t>4054-203</t>
  </si>
  <si>
    <t>10-208</t>
  </si>
  <si>
    <t>05-104</t>
  </si>
  <si>
    <t>1571-09</t>
  </si>
  <si>
    <t>11-302</t>
  </si>
  <si>
    <t>4002-106</t>
  </si>
  <si>
    <t>0211</t>
  </si>
  <si>
    <t>1106</t>
  </si>
  <si>
    <t>310</t>
  </si>
  <si>
    <t>203</t>
  </si>
  <si>
    <t>0313</t>
  </si>
  <si>
    <t>C206</t>
  </si>
  <si>
    <t>4056-203</t>
  </si>
  <si>
    <t>K109</t>
  </si>
  <si>
    <t>47-108</t>
  </si>
  <si>
    <t>1912</t>
  </si>
  <si>
    <t>1314</t>
  </si>
  <si>
    <t>1583-10</t>
  </si>
  <si>
    <t>4042-102</t>
  </si>
  <si>
    <t>4052-206</t>
  </si>
  <si>
    <t>1226</t>
  </si>
  <si>
    <t>4785-12</t>
  </si>
  <si>
    <t>11-101</t>
  </si>
  <si>
    <t>0604</t>
  </si>
  <si>
    <t>1205</t>
  </si>
  <si>
    <t>2513</t>
  </si>
  <si>
    <t>0515</t>
  </si>
  <si>
    <t>0513</t>
  </si>
  <si>
    <t>0608</t>
  </si>
  <si>
    <t>2007</t>
  </si>
  <si>
    <t>0407</t>
  </si>
  <si>
    <t>1811</t>
  </si>
  <si>
    <t>705</t>
  </si>
  <si>
    <t>214</t>
  </si>
  <si>
    <t>F103</t>
  </si>
  <si>
    <t>1583-09</t>
  </si>
  <si>
    <t>07-104</t>
  </si>
  <si>
    <t>4038-102</t>
  </si>
  <si>
    <t>29-107</t>
  </si>
  <si>
    <t>0916</t>
  </si>
  <si>
    <t>4024-201</t>
  </si>
  <si>
    <t>101</t>
  </si>
  <si>
    <t>106</t>
  </si>
  <si>
    <t>49-202</t>
  </si>
  <si>
    <t>0526</t>
  </si>
  <si>
    <t>K207</t>
  </si>
  <si>
    <t>4785-05</t>
  </si>
  <si>
    <t>41-108</t>
  </si>
  <si>
    <t>09-308</t>
  </si>
  <si>
    <t>6208</t>
  </si>
  <si>
    <t>4012-203</t>
  </si>
  <si>
    <t>51-102</t>
  </si>
  <si>
    <t>25-102</t>
  </si>
  <si>
    <t>31-102</t>
  </si>
  <si>
    <t>39-102</t>
  </si>
  <si>
    <t>0523</t>
  </si>
  <si>
    <t>G101</t>
  </si>
  <si>
    <t>21-102</t>
  </si>
  <si>
    <t>09-202</t>
  </si>
  <si>
    <t>L108</t>
  </si>
  <si>
    <t>L102</t>
  </si>
  <si>
    <t>4703-04</t>
  </si>
  <si>
    <t>55-101</t>
  </si>
  <si>
    <t>09-205</t>
  </si>
  <si>
    <t>C216</t>
  </si>
  <si>
    <t>1034</t>
  </si>
  <si>
    <t>31-202</t>
  </si>
  <si>
    <t>11-105</t>
  </si>
  <si>
    <t>1577-12</t>
  </si>
  <si>
    <t>33-106</t>
  </si>
  <si>
    <t>35-103</t>
  </si>
  <si>
    <t>21-201</t>
  </si>
  <si>
    <t>05-208</t>
  </si>
  <si>
    <t>09-104</t>
  </si>
  <si>
    <t>0705</t>
  </si>
  <si>
    <t>4000-102</t>
  </si>
  <si>
    <t>0630</t>
  </si>
  <si>
    <t>39-108</t>
  </si>
  <si>
    <t>31-107</t>
  </si>
  <si>
    <t>0725</t>
  </si>
  <si>
    <t>2BR-3P</t>
  </si>
  <si>
    <t>1033</t>
  </si>
  <si>
    <t>3BR-1P</t>
  </si>
  <si>
    <t>3BR-2</t>
  </si>
  <si>
    <t>C213</t>
  </si>
  <si>
    <t>F206</t>
  </si>
  <si>
    <t>01-205</t>
  </si>
  <si>
    <t>02-206</t>
  </si>
  <si>
    <t>4745-03</t>
  </si>
  <si>
    <t>10-201</t>
  </si>
  <si>
    <t>35-107</t>
  </si>
  <si>
    <t>4026-102</t>
  </si>
  <si>
    <t>108</t>
  </si>
  <si>
    <t>A213</t>
  </si>
  <si>
    <t>M212</t>
  </si>
  <si>
    <t>4703-07</t>
  </si>
  <si>
    <t>M106</t>
  </si>
  <si>
    <t>4014-101</t>
  </si>
  <si>
    <t>1579-08</t>
  </si>
  <si>
    <t>4012-103</t>
  </si>
  <si>
    <t>4785-22</t>
  </si>
  <si>
    <t>4052-106</t>
  </si>
  <si>
    <t>H102</t>
  </si>
  <si>
    <t>01-108</t>
  </si>
  <si>
    <t>K211</t>
  </si>
  <si>
    <t>J207</t>
  </si>
  <si>
    <t>1117</t>
  </si>
  <si>
    <t>10-307</t>
  </si>
  <si>
    <t>1571-08</t>
  </si>
  <si>
    <t>49-104</t>
  </si>
  <si>
    <t>55-205</t>
  </si>
  <si>
    <t>1308</t>
  </si>
  <si>
    <t>4765-04</t>
  </si>
  <si>
    <t>03-106</t>
  </si>
  <si>
    <t>04-205</t>
  </si>
  <si>
    <t>4054-104</t>
  </si>
  <si>
    <t>0437</t>
  </si>
  <si>
    <t>0434</t>
  </si>
  <si>
    <t>1225</t>
  </si>
  <si>
    <t>C202</t>
  </si>
  <si>
    <t>1571-02</t>
  </si>
  <si>
    <t>4026-107</t>
  </si>
  <si>
    <t>J104</t>
  </si>
  <si>
    <t>4785-17</t>
  </si>
  <si>
    <t>33-205</t>
  </si>
  <si>
    <t>43-107</t>
  </si>
  <si>
    <t>33-208</t>
  </si>
  <si>
    <t>01-207</t>
  </si>
  <si>
    <t>0814</t>
  </si>
  <si>
    <t>913</t>
  </si>
  <si>
    <t>1609</t>
  </si>
  <si>
    <t>A209</t>
  </si>
  <si>
    <t>45-201</t>
  </si>
  <si>
    <t>49-208</t>
  </si>
  <si>
    <t>716</t>
  </si>
  <si>
    <t>0621</t>
  </si>
  <si>
    <t>1304</t>
  </si>
  <si>
    <t>409</t>
  </si>
  <si>
    <t>0423</t>
  </si>
  <si>
    <t>0404</t>
  </si>
  <si>
    <t>A202</t>
  </si>
  <si>
    <t>1601</t>
  </si>
  <si>
    <t>702</t>
  </si>
  <si>
    <t>1015</t>
  </si>
  <si>
    <t>0830</t>
  </si>
  <si>
    <t>4765-06</t>
  </si>
  <si>
    <t>01-306</t>
  </si>
  <si>
    <t>312</t>
  </si>
  <si>
    <t>49-105</t>
  </si>
  <si>
    <t>0508</t>
  </si>
  <si>
    <t>M108</t>
  </si>
  <si>
    <t>11-111</t>
  </si>
  <si>
    <t>4785-23</t>
  </si>
  <si>
    <t>4010-208</t>
  </si>
  <si>
    <t>G102</t>
  </si>
  <si>
    <t>4010-105</t>
  </si>
  <si>
    <t>4034-103</t>
  </si>
  <si>
    <t>213</t>
  </si>
  <si>
    <t>1013</t>
  </si>
  <si>
    <t>2511</t>
  </si>
  <si>
    <t>2702</t>
  </si>
  <si>
    <t>1573-03</t>
  </si>
  <si>
    <t>4711-08</t>
  </si>
  <si>
    <t>4703-02</t>
  </si>
  <si>
    <t>0122</t>
  </si>
  <si>
    <t>A201</t>
  </si>
  <si>
    <t>11-109</t>
  </si>
  <si>
    <t>K101</t>
  </si>
  <si>
    <t>E205</t>
  </si>
  <si>
    <t>A208</t>
  </si>
  <si>
    <t>1577-08</t>
  </si>
  <si>
    <t>4711-04</t>
  </si>
  <si>
    <t>11-207</t>
  </si>
  <si>
    <t>49-201</t>
  </si>
  <si>
    <t>10-104</t>
  </si>
  <si>
    <t>0816</t>
  </si>
  <si>
    <t>4715-02</t>
  </si>
  <si>
    <t>10-206</t>
  </si>
  <si>
    <t>08-303</t>
  </si>
  <si>
    <t>2510</t>
  </si>
  <si>
    <t>2713</t>
  </si>
  <si>
    <t>0905</t>
  </si>
  <si>
    <t>4012-204</t>
  </si>
  <si>
    <t>802</t>
  </si>
  <si>
    <t>103</t>
  </si>
  <si>
    <t>K102</t>
  </si>
  <si>
    <t>C201</t>
  </si>
  <si>
    <t>M211</t>
  </si>
  <si>
    <t>M208</t>
  </si>
  <si>
    <t>L101</t>
  </si>
  <si>
    <t>4785-07</t>
  </si>
  <si>
    <t>4745-07</t>
  </si>
  <si>
    <t>1577-09</t>
  </si>
  <si>
    <t>1573-10</t>
  </si>
  <si>
    <t>07-308</t>
  </si>
  <si>
    <t>06-202</t>
  </si>
  <si>
    <t>06-211</t>
  </si>
  <si>
    <t>11-205</t>
  </si>
  <si>
    <t>309</t>
  </si>
  <si>
    <t>1413</t>
  </si>
  <si>
    <t>104</t>
  </si>
  <si>
    <t>803</t>
  </si>
  <si>
    <t>1216</t>
  </si>
  <si>
    <t>4040-106</t>
  </si>
  <si>
    <t>4040-101</t>
  </si>
  <si>
    <t>0936</t>
  </si>
  <si>
    <t>1573-05</t>
  </si>
  <si>
    <t>45-207</t>
  </si>
  <si>
    <t>49-203</t>
  </si>
  <si>
    <t>53-108</t>
  </si>
  <si>
    <t>04-303</t>
  </si>
  <si>
    <t>2503</t>
  </si>
  <si>
    <t>2016</t>
  </si>
  <si>
    <t>4785-13</t>
  </si>
  <si>
    <t>06-310</t>
  </si>
  <si>
    <t>3 Bed 2 Bath</t>
  </si>
  <si>
    <t>05-209</t>
  </si>
  <si>
    <t>0827</t>
  </si>
  <si>
    <t>0534</t>
  </si>
  <si>
    <t>05-210</t>
  </si>
  <si>
    <t>K103</t>
  </si>
  <si>
    <t>D204</t>
  </si>
  <si>
    <t>09-301</t>
  </si>
  <si>
    <t>904</t>
  </si>
  <si>
    <t>B102</t>
  </si>
  <si>
    <t>43-105</t>
  </si>
  <si>
    <t>906</t>
  </si>
  <si>
    <t>1024</t>
  </si>
  <si>
    <t>B203</t>
  </si>
  <si>
    <t>1575-02</t>
  </si>
  <si>
    <t>2210</t>
  </si>
  <si>
    <t>304</t>
  </si>
  <si>
    <t>1571-04</t>
  </si>
  <si>
    <t>1577-37</t>
  </si>
  <si>
    <t>23-104</t>
  </si>
  <si>
    <t>10-204</t>
  </si>
  <si>
    <t>11-210</t>
  </si>
  <si>
    <t>04-206</t>
  </si>
  <si>
    <t>4008-103</t>
  </si>
  <si>
    <t>1405</t>
  </si>
  <si>
    <t>K106</t>
  </si>
  <si>
    <t>C218</t>
  </si>
  <si>
    <t>G202</t>
  </si>
  <si>
    <t>4745-06</t>
  </si>
  <si>
    <t>09-201</t>
  </si>
  <si>
    <t>09-204</t>
  </si>
  <si>
    <t>10-108</t>
  </si>
  <si>
    <t>06-203</t>
  </si>
  <si>
    <t>10-302</t>
  </si>
  <si>
    <t>08-206</t>
  </si>
  <si>
    <t>08-302</t>
  </si>
  <si>
    <t>06-112</t>
  </si>
  <si>
    <t>04-307</t>
  </si>
  <si>
    <t>4056-107</t>
  </si>
  <si>
    <t>4030-201</t>
  </si>
  <si>
    <t>F104</t>
  </si>
  <si>
    <t>4755-03</t>
  </si>
  <si>
    <t>4755-02</t>
  </si>
  <si>
    <t>01-206</t>
  </si>
  <si>
    <t>2101</t>
  </si>
  <si>
    <t>4715-10</t>
  </si>
  <si>
    <t>0920</t>
  </si>
  <si>
    <t>4785-18</t>
  </si>
  <si>
    <t>09-302</t>
  </si>
  <si>
    <t>10-203</t>
  </si>
  <si>
    <t>4056-206</t>
  </si>
  <si>
    <t>D108</t>
  </si>
  <si>
    <t>M102</t>
  </si>
  <si>
    <t>B201</t>
  </si>
  <si>
    <t>1577-07</t>
  </si>
  <si>
    <t>1577-20</t>
  </si>
  <si>
    <t>B101</t>
  </si>
  <si>
    <t>J201</t>
  </si>
  <si>
    <t>4765-09</t>
  </si>
  <si>
    <t>0915</t>
  </si>
  <si>
    <t>4715-08</t>
  </si>
  <si>
    <t>01-101</t>
  </si>
  <si>
    <t>08-207</t>
  </si>
  <si>
    <t>4020-207</t>
  </si>
  <si>
    <t>M214</t>
  </si>
  <si>
    <t>E101</t>
  </si>
  <si>
    <t>J209</t>
  </si>
  <si>
    <t>K203</t>
  </si>
  <si>
    <t>L205</t>
  </si>
  <si>
    <t>F205</t>
  </si>
  <si>
    <t>L210</t>
  </si>
  <si>
    <t>1575-07</t>
  </si>
  <si>
    <t>1577-10</t>
  </si>
  <si>
    <t>1585-07</t>
  </si>
  <si>
    <t>51-108</t>
  </si>
  <si>
    <t>35-108</t>
  </si>
  <si>
    <t>27-106</t>
  </si>
  <si>
    <t>10-306</t>
  </si>
  <si>
    <t>09-207</t>
  </si>
  <si>
    <t>02-203</t>
  </si>
  <si>
    <t>02-112</t>
  </si>
  <si>
    <t>06-206</t>
  </si>
  <si>
    <t>02-205</t>
  </si>
  <si>
    <t>02-111</t>
  </si>
  <si>
    <t>04-203</t>
  </si>
  <si>
    <t>05-309</t>
  </si>
  <si>
    <t>1571-03</t>
  </si>
  <si>
    <t>4785-40</t>
  </si>
  <si>
    <t>1575-05</t>
  </si>
  <si>
    <t>4755-01</t>
  </si>
  <si>
    <t>1577-27</t>
  </si>
  <si>
    <t>0209</t>
  </si>
  <si>
    <t>1414</t>
  </si>
  <si>
    <t>1104</t>
  </si>
  <si>
    <t>706</t>
  </si>
  <si>
    <t>205</t>
  </si>
  <si>
    <t>912</t>
  </si>
  <si>
    <t>316</t>
  </si>
  <si>
    <t>911</t>
  </si>
  <si>
    <t>1713</t>
  </si>
  <si>
    <t>507</t>
  </si>
  <si>
    <t>06-303</t>
  </si>
  <si>
    <t>39-104</t>
  </si>
  <si>
    <t>M202</t>
  </si>
  <si>
    <t>31-206</t>
  </si>
  <si>
    <t>35-206</t>
  </si>
  <si>
    <t>07-101</t>
  </si>
  <si>
    <t>06-105</t>
  </si>
  <si>
    <t>2402</t>
  </si>
  <si>
    <t>Two Bed 1.5 Bath TH - Bronze</t>
  </si>
  <si>
    <t>1579-09</t>
  </si>
  <si>
    <t>55-207</t>
  </si>
  <si>
    <t>37-105</t>
  </si>
  <si>
    <t>607</t>
  </si>
  <si>
    <t>55-202</t>
  </si>
  <si>
    <t>11-212</t>
  </si>
  <si>
    <t>04-202</t>
  </si>
  <si>
    <t>1914</t>
  </si>
  <si>
    <t>55-208</t>
  </si>
  <si>
    <t>27-206</t>
  </si>
  <si>
    <t>01-304</t>
  </si>
  <si>
    <t>04-107</t>
  </si>
  <si>
    <t>4010-104</t>
  </si>
  <si>
    <t>45-105</t>
  </si>
  <si>
    <t>207</t>
  </si>
  <si>
    <t>2005</t>
  </si>
  <si>
    <t>07-208</t>
  </si>
  <si>
    <t>05-106</t>
  </si>
  <si>
    <t>05-202</t>
  </si>
  <si>
    <t>0416</t>
  </si>
  <si>
    <t>41-201</t>
  </si>
  <si>
    <t>25-103</t>
  </si>
  <si>
    <t>23-103</t>
  </si>
  <si>
    <t>29-203</t>
  </si>
  <si>
    <t>07-206</t>
  </si>
  <si>
    <t>03-303</t>
  </si>
  <si>
    <t>4008-105</t>
  </si>
  <si>
    <t>4056-104</t>
  </si>
  <si>
    <t>4012-108</t>
  </si>
  <si>
    <t>02-308</t>
  </si>
  <si>
    <t>06-101</t>
  </si>
  <si>
    <t>06-106</t>
  </si>
  <si>
    <t>0831</t>
  </si>
  <si>
    <t>53-106</t>
  </si>
  <si>
    <t>M105</t>
  </si>
  <si>
    <t>25-104</t>
  </si>
  <si>
    <t>4042-201</t>
  </si>
  <si>
    <t>1577-34</t>
  </si>
  <si>
    <t>02-304</t>
  </si>
  <si>
    <t>05-201</t>
  </si>
  <si>
    <t>0314</t>
  </si>
  <si>
    <t>Two Bed 1.5 Bath  TH - Premium</t>
  </si>
  <si>
    <t>1579-04</t>
  </si>
  <si>
    <t>A102</t>
  </si>
  <si>
    <t>One Bed One Bath - Platinum</t>
  </si>
  <si>
    <t>4785-31</t>
  </si>
  <si>
    <t>27-204</t>
  </si>
  <si>
    <t>08-201</t>
  </si>
  <si>
    <t>D103</t>
  </si>
  <si>
    <t>27-207</t>
  </si>
  <si>
    <t>31-106</t>
  </si>
  <si>
    <t>01-105</t>
  </si>
  <si>
    <t>07-108</t>
  </si>
  <si>
    <t>D203</t>
  </si>
  <si>
    <t>1571-05</t>
  </si>
  <si>
    <t>Two Bed Two Bath A - Premium</t>
  </si>
  <si>
    <t>1571-07</t>
  </si>
  <si>
    <t>4008-107</t>
  </si>
  <si>
    <t>806</t>
  </si>
  <si>
    <t>914</t>
  </si>
  <si>
    <t>603</t>
  </si>
  <si>
    <t>1908</t>
  </si>
  <si>
    <t>43-204</t>
  </si>
  <si>
    <t>21-101</t>
  </si>
  <si>
    <t>4034-104</t>
  </si>
  <si>
    <t>1611</t>
  </si>
  <si>
    <t>45-108</t>
  </si>
  <si>
    <t>01-208</t>
  </si>
  <si>
    <t>11-307</t>
  </si>
  <si>
    <t>4002-102</t>
  </si>
  <si>
    <t>4052-101</t>
  </si>
  <si>
    <t>11-112</t>
  </si>
  <si>
    <t>4030-102</t>
  </si>
  <si>
    <t>A214</t>
  </si>
  <si>
    <t>1575-10</t>
  </si>
  <si>
    <t>09-305</t>
  </si>
  <si>
    <t>4054-202</t>
  </si>
  <si>
    <t>0135</t>
  </si>
  <si>
    <t>4725-06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</si>
</sst>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0.00"/>
    <numFmt numFmtId="165" formatCode="mm/dd/yyyy"/>
    <numFmt numFmtId="166" formatCode="\$#,##0.00"/>
  </numFmts>
  <fonts count="10" x14ac:knownFonts="1">
    <font>
      <sz val="11"/>
      <color theme="1"/>
      <name val="Calibri"/>
      <family val="2"/>
      <charset val="1"/>
    </font>
    <font>
      <b/>
      <sz val="14"/>
      <color rgb="FF1A1A1A"/>
      <name val="Arial"/>
      <charset val="1"/>
    </font>
    <font>
      <sz val="11"/>
      <color rgb="FF7F7F7F"/>
      <name val="Arial"/>
      <charset val="1"/>
    </font>
    <font>
      <i/>
      <sz val="10"/>
      <color rgb="FF99999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2"/>
      <color rgb="FF1A1A1A"/>
      <name val="Arial"/>
      <charset val="1"/>
    </font>
    <font>
      <b/>
      <sz val="11"/>
      <color rgb="FF1F4E79"/>
      <name val="Arial"/>
      <charset val="1"/>
    </font>
    <font>
      <sz val="10"/>
      <color rgb="FF33333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left"/>
    </xf>
    <xf numFmtId="1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1A1A1A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160560</xdr:rowOff>
    </xdr:from>
    <xdr:to>
      <xdr:col>10</xdr:col>
      <xdr:colOff>554040</xdr:colOff>
      <xdr:row>46</xdr:row>
      <xdr:rowOff>150480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828960"/>
          <a:ext cx="10000800" cy="5324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zoomScaleNormal="100" workbookViewId="0">
      <selection activeCell="L10" sqref="L10"/>
    </sheetView>
  </sheetViews>
  <sheetFormatPr defaultColWidth="8.7109375" defaultRowHeight="15" x14ac:dyDescent="0.25"/>
  <cols>
    <col min="1" max="1" width="18" customWidth="1"/>
    <col min="2" max="7" width="15" customWidth="1"/>
  </cols>
  <sheetData>
    <row r="1" spans="1:7" ht="18" x14ac:dyDescent="0.25">
      <c r="A1" s="6" t="s">
        <v>0</v>
      </c>
      <c r="B1" s="6"/>
      <c r="C1" s="6"/>
      <c r="D1" s="6"/>
      <c r="E1" s="6"/>
      <c r="F1" s="6"/>
      <c r="G1" s="6"/>
    </row>
    <row r="2" spans="1:7" x14ac:dyDescent="0.25">
      <c r="A2" s="5" t="s">
        <v>1</v>
      </c>
      <c r="B2" s="5"/>
      <c r="C2" s="5"/>
      <c r="D2" s="5"/>
      <c r="E2" s="5"/>
      <c r="F2" s="5"/>
      <c r="G2" s="5"/>
    </row>
    <row r="3" spans="1:7" x14ac:dyDescent="0.25">
      <c r="A3" s="4" t="s">
        <v>2</v>
      </c>
      <c r="B3" s="4"/>
      <c r="C3" s="4"/>
      <c r="D3" s="4"/>
      <c r="E3" s="4"/>
      <c r="F3" s="4"/>
      <c r="G3" s="4"/>
    </row>
    <row r="5" spans="1:7" ht="31.5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spans="1:7" x14ac:dyDescent="0.25">
      <c r="A6" s="8" t="s">
        <v>10</v>
      </c>
      <c r="B6" s="9">
        <f>COUNTIF('The Boardwalk (Yardi)'!P2:P183,"2025-07")</f>
        <v>12</v>
      </c>
      <c r="C6" s="10">
        <f>IFERROR(SUMIFS('The Boardwalk (Yardi)'!I2:I183,'The Boardwalk (Yardi)'!P2:P183,"2025-07")/SUMIFS('The Boardwalk (Yardi)'!E2:E183,'The Boardwalk (Yardi)'!P2:P183,"2025-07"),"")</f>
        <v>1.8315277470705285</v>
      </c>
      <c r="D6" s="10">
        <f>IFERROR(SUMIFS('The Boardwalk (Yardi)'!M2:M183,'The Boardwalk (Yardi)'!P2:P183,"2025-07")/SUMIFS('The Boardwalk (Yardi)'!E2:E183,'The Boardwalk (Yardi)'!P2:P183,"2025-07"),"")</f>
        <v>1.6261008548898226</v>
      </c>
      <c r="E6" s="9">
        <f>COUNTIF('Comp Set (HelloData)'!N2:N1006,"2025-07")</f>
        <v>42</v>
      </c>
      <c r="F6" s="10">
        <f>IFERROR(SUMIFS('Comp Set (HelloData)'!J2:J1006,'Comp Set (HelloData)'!N2:N1006,"2025-07")/SUMIFS('Comp Set (HelloData)'!F2:F1006,'Comp Set (HelloData)'!N2:N1006,"2025-07"),"")</f>
        <v>1.7098043593536323</v>
      </c>
      <c r="G6" s="10">
        <f>IFERROR(SUMIFS('Comp Set (HelloData)'!L2:L1006,'Comp Set (HelloData)'!N2:N1006,"2025-07")/SUMIFS('Comp Set (HelloData)'!F2:F1006,'Comp Set (HelloData)'!N2:N1006,"2025-07"),"")</f>
        <v>1.501632664452569</v>
      </c>
    </row>
    <row r="7" spans="1:7" x14ac:dyDescent="0.25">
      <c r="A7" s="8" t="s">
        <v>11</v>
      </c>
      <c r="B7" s="9">
        <f>COUNTIF('The Boardwalk (Yardi)'!P2:P183,"2025-08")</f>
        <v>18</v>
      </c>
      <c r="C7" s="10">
        <f>IFERROR(SUMIFS('The Boardwalk (Yardi)'!I2:I183,'The Boardwalk (Yardi)'!P2:P183,"2025-08")/SUMIFS('The Boardwalk (Yardi)'!E2:E183,'The Boardwalk (Yardi)'!P2:P183,"2025-08"),"")</f>
        <v>1.7543272727272727</v>
      </c>
      <c r="D7" s="10">
        <f>IFERROR(SUMIFS('The Boardwalk (Yardi)'!M2:M183,'The Boardwalk (Yardi)'!P2:P183,"2025-08")/SUMIFS('The Boardwalk (Yardi)'!E2:E183,'The Boardwalk (Yardi)'!P2:P183,"2025-08"),"")</f>
        <v>1.5840303030303027</v>
      </c>
      <c r="E7" s="9">
        <f>COUNTIF('Comp Set (HelloData)'!N2:N1006,"2025-08")</f>
        <v>61</v>
      </c>
      <c r="F7" s="10">
        <f>IFERROR(SUMIFS('Comp Set (HelloData)'!J2:J1006,'Comp Set (HelloData)'!N2:N1006,"2025-08")/SUMIFS('Comp Set (HelloData)'!F2:F1006,'Comp Set (HelloData)'!N2:N1006,"2025-08"),"")</f>
        <v>1.6184528007721148</v>
      </c>
      <c r="G7" s="10">
        <f>IFERROR(SUMIFS('Comp Set (HelloData)'!L2:L1006,'Comp Set (HelloData)'!N2:N1006,"2025-08")/SUMIFS('Comp Set (HelloData)'!F2:F1006,'Comp Set (HelloData)'!N2:N1006,"2025-08"),"")</f>
        <v>1.4527450907606072</v>
      </c>
    </row>
    <row r="8" spans="1:7" x14ac:dyDescent="0.25">
      <c r="A8" s="8" t="s">
        <v>12</v>
      </c>
      <c r="B8" s="9">
        <f>COUNTIF('The Boardwalk (Yardi)'!P2:P183,"2025-09")</f>
        <v>15</v>
      </c>
      <c r="C8" s="10">
        <f>IFERROR(SUMIFS('The Boardwalk (Yardi)'!I2:I183,'The Boardwalk (Yardi)'!P2:P183,"2025-09")/SUMIFS('The Boardwalk (Yardi)'!E2:E183,'The Boardwalk (Yardi)'!P2:P183,"2025-09"),"")</f>
        <v>1.5410358565737052</v>
      </c>
      <c r="D8" s="10">
        <f>IFERROR(SUMIFS('The Boardwalk (Yardi)'!M2:M183,'The Boardwalk (Yardi)'!P2:P183,"2025-09")/SUMIFS('The Boardwalk (Yardi)'!E2:E183,'The Boardwalk (Yardi)'!P2:P183,"2025-09"),"")</f>
        <v>1.4249792746960874</v>
      </c>
      <c r="E8" s="9">
        <f>COUNTIF('Comp Set (HelloData)'!N2:N1006,"2025-09")</f>
        <v>72</v>
      </c>
      <c r="F8" s="10">
        <f>IFERROR(SUMIFS('Comp Set (HelloData)'!J2:J1006,'Comp Set (HelloData)'!N2:N1006,"2025-09")/SUMIFS('Comp Set (HelloData)'!F2:F1006,'Comp Set (HelloData)'!N2:N1006,"2025-09"),"")</f>
        <v>1.5600728350897548</v>
      </c>
      <c r="G8" s="10">
        <f>IFERROR(SUMIFS('Comp Set (HelloData)'!L2:L1006,'Comp Set (HelloData)'!N2:N1006,"2025-09")/SUMIFS('Comp Set (HelloData)'!F2:F1006,'Comp Set (HelloData)'!N2:N1006,"2025-09"),"")</f>
        <v>1.3643849302265623</v>
      </c>
    </row>
    <row r="9" spans="1:7" x14ac:dyDescent="0.25">
      <c r="A9" s="8" t="s">
        <v>13</v>
      </c>
      <c r="B9" s="9">
        <f>COUNTIF('The Boardwalk (Yardi)'!P2:P183,"2025-10")</f>
        <v>11</v>
      </c>
      <c r="C9" s="10">
        <f>IFERROR(SUMIFS('The Boardwalk (Yardi)'!I2:I183,'The Boardwalk (Yardi)'!P2:P183,"2025-10")/SUMIFS('The Boardwalk (Yardi)'!E2:E183,'The Boardwalk (Yardi)'!P2:P183,"2025-10"),"")</f>
        <v>1.4895904603655556</v>
      </c>
      <c r="D9" s="10">
        <f>IFERROR(SUMIFS('The Boardwalk (Yardi)'!M2:M183,'The Boardwalk (Yardi)'!P2:P183,"2025-10")/SUMIFS('The Boardwalk (Yardi)'!E2:E183,'The Boardwalk (Yardi)'!P2:P183,"2025-10"),"")</f>
        <v>1.3593809914062087</v>
      </c>
      <c r="E9" s="9">
        <f>COUNTIF('Comp Set (HelloData)'!N2:N1006,"2025-10")</f>
        <v>99</v>
      </c>
      <c r="F9" s="10">
        <f>IFERROR(SUMIFS('Comp Set (HelloData)'!J2:J1006,'Comp Set (HelloData)'!N2:N1006,"2025-10")/SUMIFS('Comp Set (HelloData)'!F2:F1006,'Comp Set (HelloData)'!N2:N1006,"2025-10"),"")</f>
        <v>1.5356057968230337</v>
      </c>
      <c r="G9" s="10">
        <f>IFERROR(SUMIFS('Comp Set (HelloData)'!L2:L1006,'Comp Set (HelloData)'!N2:N1006,"2025-10")/SUMIFS('Comp Set (HelloData)'!F2:F1006,'Comp Set (HelloData)'!N2:N1006,"2025-10"),"")</f>
        <v>1.3191134270654483</v>
      </c>
    </row>
    <row r="10" spans="1:7" x14ac:dyDescent="0.25">
      <c r="A10" s="8" t="s">
        <v>14</v>
      </c>
      <c r="B10" s="9">
        <f>COUNTIF('The Boardwalk (Yardi)'!P2:P183,"2025-11")</f>
        <v>8</v>
      </c>
      <c r="C10" s="10">
        <f>IFERROR(SUMIFS('The Boardwalk (Yardi)'!I2:I183,'The Boardwalk (Yardi)'!P2:P183,"2025-11")/SUMIFS('The Boardwalk (Yardi)'!E2:E183,'The Boardwalk (Yardi)'!P2:P183,"2025-11"),"")</f>
        <v>1.4648225135913016</v>
      </c>
      <c r="D10" s="10">
        <f>IFERROR(SUMIFS('The Boardwalk (Yardi)'!M2:M183,'The Boardwalk (Yardi)'!P2:P183,"2025-11")/SUMIFS('The Boardwalk (Yardi)'!E2:E183,'The Boardwalk (Yardi)'!P2:P183,"2025-11"),"")</f>
        <v>1.32161610415488</v>
      </c>
      <c r="E10" s="9">
        <f>COUNTIF('Comp Set (HelloData)'!N2:N1006,"2025-11")</f>
        <v>82</v>
      </c>
      <c r="F10" s="10">
        <f>IFERROR(SUMIFS('Comp Set (HelloData)'!J2:J1006,'Comp Set (HelloData)'!N2:N1006,"2025-11")/SUMIFS('Comp Set (HelloData)'!F2:F1006,'Comp Set (HelloData)'!N2:N1006,"2025-11"),"")</f>
        <v>1.4717652652312707</v>
      </c>
      <c r="G10" s="10">
        <f>IFERROR(SUMIFS('Comp Set (HelloData)'!L2:L1006,'Comp Set (HelloData)'!N2:N1006,"2025-11")/SUMIFS('Comp Set (HelloData)'!F2:F1006,'Comp Set (HelloData)'!N2:N1006,"2025-11"),"")</f>
        <v>1.258860286626367</v>
      </c>
    </row>
    <row r="11" spans="1:7" x14ac:dyDescent="0.25">
      <c r="A11" s="8" t="s">
        <v>15</v>
      </c>
      <c r="B11" s="9">
        <f>COUNTIF('The Boardwalk (Yardi)'!P2:P183,"2025-12")</f>
        <v>11</v>
      </c>
      <c r="C11" s="10">
        <f>IFERROR(SUMIFS('The Boardwalk (Yardi)'!I2:I183,'The Boardwalk (Yardi)'!P2:P183,"2025-12")/SUMIFS('The Boardwalk (Yardi)'!E2:E183,'The Boardwalk (Yardi)'!P2:P183,"2025-12"),"")</f>
        <v>1.3009030704394944</v>
      </c>
      <c r="D11" s="10">
        <f>IFERROR(SUMIFS('The Boardwalk (Yardi)'!M2:M183,'The Boardwalk (Yardi)'!P2:P183,"2025-12")/SUMIFS('The Boardwalk (Yardi)'!E2:E183,'The Boardwalk (Yardi)'!P2:P183,"2025-12"),"")</f>
        <v>1.1379636765001004</v>
      </c>
      <c r="E11" s="9">
        <f>COUNTIF('Comp Set (HelloData)'!N2:N1006,"2025-12")</f>
        <v>88</v>
      </c>
      <c r="F11" s="10">
        <f>IFERROR(SUMIFS('Comp Set (HelloData)'!J2:J1006,'Comp Set (HelloData)'!N2:N1006,"2025-12")/SUMIFS('Comp Set (HelloData)'!F2:F1006,'Comp Set (HelloData)'!N2:N1006,"2025-12"),"")</f>
        <v>1.3726919997536491</v>
      </c>
      <c r="G11" s="10">
        <f>IFERROR(SUMIFS('Comp Set (HelloData)'!L2:L1006,'Comp Set (HelloData)'!N2:N1006,"2025-12")/SUMIFS('Comp Set (HelloData)'!F2:F1006,'Comp Set (HelloData)'!N2:N1006,"2025-12"),"")</f>
        <v>1.2301164008129581</v>
      </c>
    </row>
    <row r="12" spans="1:7" x14ac:dyDescent="0.25">
      <c r="A12" s="8" t="s">
        <v>16</v>
      </c>
      <c r="B12" s="9">
        <f>COUNTIF('The Boardwalk (Yardi)'!P2:P183,"2026-01")</f>
        <v>22</v>
      </c>
      <c r="C12" s="10">
        <f>IFERROR(SUMIFS('The Boardwalk (Yardi)'!I2:I183,'The Boardwalk (Yardi)'!P2:P183,"2026-01")/SUMIFS('The Boardwalk (Yardi)'!E2:E183,'The Boardwalk (Yardi)'!P2:P183,"2026-01"),"")</f>
        <v>1.3448294300074859</v>
      </c>
      <c r="D12" s="10">
        <f>IFERROR(SUMIFS('The Boardwalk (Yardi)'!M2:M183,'The Boardwalk (Yardi)'!P2:P183,"2026-01")/SUMIFS('The Boardwalk (Yardi)'!E2:E183,'The Boardwalk (Yardi)'!P2:P183,"2026-01"),"")</f>
        <v>1.1519357109756536</v>
      </c>
      <c r="E12" s="9">
        <f>COUNTIF('Comp Set (HelloData)'!N2:N1006,"2026-01")</f>
        <v>91</v>
      </c>
      <c r="F12" s="10">
        <f>IFERROR(SUMIFS('Comp Set (HelloData)'!J2:J1006,'Comp Set (HelloData)'!N2:N1006,"2026-01")/SUMIFS('Comp Set (HelloData)'!F2:F1006,'Comp Set (HelloData)'!N2:N1006,"2026-01"),"")</f>
        <v>1.4999368319983828</v>
      </c>
      <c r="G12" s="10">
        <f>IFERROR(SUMIFS('Comp Set (HelloData)'!L2:L1006,'Comp Set (HelloData)'!N2:N1006,"2026-01")/SUMIFS('Comp Set (HelloData)'!F2:F1006,'Comp Set (HelloData)'!N2:N1006,"2026-01"),"")</f>
        <v>1.2858478409177048</v>
      </c>
    </row>
    <row r="13" spans="1:7" x14ac:dyDescent="0.25">
      <c r="A13" s="8" t="s">
        <v>17</v>
      </c>
      <c r="B13" s="9">
        <f>COUNTIF('The Boardwalk (Yardi)'!P2:P183,"2026-02")</f>
        <v>20</v>
      </c>
      <c r="C13" s="10">
        <f>IFERROR(SUMIFS('The Boardwalk (Yardi)'!I2:I183,'The Boardwalk (Yardi)'!P2:P183,"2026-02")/SUMIFS('The Boardwalk (Yardi)'!E2:E183,'The Boardwalk (Yardi)'!P2:P183,"2026-02"),"")</f>
        <v>1.2663503693471863</v>
      </c>
      <c r="D13" s="10">
        <f>IFERROR(SUMIFS('The Boardwalk (Yardi)'!M2:M183,'The Boardwalk (Yardi)'!P2:P183,"2026-02")/SUMIFS('The Boardwalk (Yardi)'!E2:E183,'The Boardwalk (Yardi)'!P2:P183,"2026-02"),"")</f>
        <v>1.183020762593761</v>
      </c>
      <c r="E13" s="9">
        <f>COUNTIF('Comp Set (HelloData)'!N2:N1006,"2026-02")</f>
        <v>109</v>
      </c>
      <c r="F13" s="10">
        <f>IFERROR(SUMIFS('Comp Set (HelloData)'!J2:J1006,'Comp Set (HelloData)'!N2:N1006,"2026-02")/SUMIFS('Comp Set (HelloData)'!F2:F1006,'Comp Set (HelloData)'!N2:N1006,"2026-02"),"")</f>
        <v>1.5332765064585929</v>
      </c>
      <c r="G13" s="10">
        <f>IFERROR(SUMIFS('Comp Set (HelloData)'!L2:L1006,'Comp Set (HelloData)'!N2:N1006,"2026-02")/SUMIFS('Comp Set (HelloData)'!F2:F1006,'Comp Set (HelloData)'!N2:N1006,"2026-02"),"")</f>
        <v>1.3156623609380806</v>
      </c>
    </row>
    <row r="14" spans="1:7" x14ac:dyDescent="0.25">
      <c r="A14" s="8" t="s">
        <v>18</v>
      </c>
      <c r="B14" s="9">
        <f>COUNTIF('The Boardwalk (Yardi)'!P2:P183,"2026-03")</f>
        <v>29</v>
      </c>
      <c r="C14" s="10">
        <f>IFERROR(SUMIFS('The Boardwalk (Yardi)'!I2:I183,'The Boardwalk (Yardi)'!P2:P183,"2026-03")/SUMIFS('The Boardwalk (Yardi)'!E2:E183,'The Boardwalk (Yardi)'!P2:P183,"2026-03"),"")</f>
        <v>1.2623535196263214</v>
      </c>
      <c r="D14" s="10">
        <f>IFERROR(SUMIFS('The Boardwalk (Yardi)'!M2:M183,'The Boardwalk (Yardi)'!P2:P183,"2026-03")/SUMIFS('The Boardwalk (Yardi)'!E2:E183,'The Boardwalk (Yardi)'!P2:P183,"2026-03"),"")</f>
        <v>1.2594170832308993</v>
      </c>
      <c r="E14" s="9">
        <f>COUNTIF('Comp Set (HelloData)'!N2:N1006,"2026-03")</f>
        <v>82</v>
      </c>
      <c r="F14" s="10">
        <f>IFERROR(SUMIFS('Comp Set (HelloData)'!J2:J1006,'Comp Set (HelloData)'!N2:N1006,"2026-03")/SUMIFS('Comp Set (HelloData)'!F2:F1006,'Comp Set (HelloData)'!N2:N1006,"2026-03"),"")</f>
        <v>1.5671925932013038</v>
      </c>
      <c r="G14" s="10">
        <f>IFERROR(SUMIFS('Comp Set (HelloData)'!L2:L1006,'Comp Set (HelloData)'!N2:N1006,"2026-03")/SUMIFS('Comp Set (HelloData)'!F2:F1006,'Comp Set (HelloData)'!N2:N1006,"2026-03"),"")</f>
        <v>1.3580272276549703</v>
      </c>
    </row>
    <row r="15" spans="1:7" x14ac:dyDescent="0.25">
      <c r="A15" s="8" t="s">
        <v>19</v>
      </c>
      <c r="B15" s="9">
        <f>COUNTIF('The Boardwalk (Yardi)'!P2:P183,"2026-04")</f>
        <v>16</v>
      </c>
      <c r="C15" s="10">
        <f>IFERROR(SUMIFS('The Boardwalk (Yardi)'!I2:I183,'The Boardwalk (Yardi)'!P2:P183,"2026-04")/SUMIFS('The Boardwalk (Yardi)'!E2:E183,'The Boardwalk (Yardi)'!P2:P183,"2026-04"),"")</f>
        <v>1.2867900172117039</v>
      </c>
      <c r="D15" s="10">
        <f>IFERROR(SUMIFS('The Boardwalk (Yardi)'!M2:M183,'The Boardwalk (Yardi)'!P2:P183,"2026-04")/SUMIFS('The Boardwalk (Yardi)'!E2:E183,'The Boardwalk (Yardi)'!P2:P183,"2026-04"),"")</f>
        <v>1.2867900172117039</v>
      </c>
      <c r="E15" s="9">
        <f>COUNTIF('Comp Set (HelloData)'!N2:N1006,"2026-04")</f>
        <v>81</v>
      </c>
      <c r="F15" s="10">
        <f>IFERROR(SUMIFS('Comp Set (HelloData)'!J2:J1006,'Comp Set (HelloData)'!N2:N1006,"2026-04")/SUMIFS('Comp Set (HelloData)'!F2:F1006,'Comp Set (HelloData)'!N2:N1006,"2026-04"),"")</f>
        <v>1.6419771477944791</v>
      </c>
      <c r="G15" s="10">
        <f>IFERROR(SUMIFS('Comp Set (HelloData)'!L2:L1006,'Comp Set (HelloData)'!N2:N1006,"2026-04")/SUMIFS('Comp Set (HelloData)'!F2:F1006,'Comp Set (HelloData)'!N2:N1006,"2026-04"),"")</f>
        <v>1.3877575342261683</v>
      </c>
    </row>
    <row r="16" spans="1:7" x14ac:dyDescent="0.25">
      <c r="A16" s="8" t="s">
        <v>20</v>
      </c>
      <c r="B16" s="9">
        <f>COUNTIF('The Boardwalk (Yardi)'!P2:P183,"2026-05")</f>
        <v>7</v>
      </c>
      <c r="C16" s="10">
        <f>IFERROR(SUMIFS('The Boardwalk (Yardi)'!I2:I183,'The Boardwalk (Yardi)'!P2:P183,"2026-05")/SUMIFS('The Boardwalk (Yardi)'!E2:E183,'The Boardwalk (Yardi)'!P2:P183,"2026-05"),"")</f>
        <v>1.5155494125777471</v>
      </c>
      <c r="D16" s="10">
        <f>IFERROR(SUMIFS('The Boardwalk (Yardi)'!M2:M183,'The Boardwalk (Yardi)'!P2:P183,"2026-05")/SUMIFS('The Boardwalk (Yardi)'!E2:E183,'The Boardwalk (Yardi)'!P2:P183,"2026-05"),"")</f>
        <v>1.5155494125777471</v>
      </c>
      <c r="E16" s="9">
        <f>COUNTIF('Comp Set (HelloData)'!N2:N1006,"2026-05")</f>
        <v>111</v>
      </c>
      <c r="F16" s="10">
        <f>IFERROR(SUMIFS('Comp Set (HelloData)'!J2:J1006,'Comp Set (HelloData)'!N2:N1006,"2026-05")/SUMIFS('Comp Set (HelloData)'!F2:F1006,'Comp Set (HelloData)'!N2:N1006,"2026-05"),"")</f>
        <v>1.5747966873088115</v>
      </c>
      <c r="G16" s="10">
        <f>IFERROR(SUMIFS('Comp Set (HelloData)'!L2:L1006,'Comp Set (HelloData)'!N2:N1006,"2026-05")/SUMIFS('Comp Set (HelloData)'!F2:F1006,'Comp Set (HelloData)'!N2:N1006,"2026-05"),"")</f>
        <v>1.2646742200573433</v>
      </c>
    </row>
    <row r="17" spans="1:7" x14ac:dyDescent="0.25">
      <c r="A17" s="8" t="s">
        <v>21</v>
      </c>
      <c r="B17" s="9">
        <f>COUNTIF('The Boardwalk (Yardi)'!P2:P183,"2026-06")</f>
        <v>13</v>
      </c>
      <c r="C17" s="10">
        <f>IFERROR(SUMIFS('The Boardwalk (Yardi)'!I2:I183,'The Boardwalk (Yardi)'!P2:P183,"2026-06")/SUMIFS('The Boardwalk (Yardi)'!E2:E183,'The Boardwalk (Yardi)'!P2:P183,"2026-06"),"")</f>
        <v>1.5444291879168301</v>
      </c>
      <c r="D17" s="10">
        <f>IFERROR(SUMIFS('The Boardwalk (Yardi)'!M2:M183,'The Boardwalk (Yardi)'!P2:P183,"2026-06")/SUMIFS('The Boardwalk (Yardi)'!E2:E183,'The Boardwalk (Yardi)'!P2:P183,"2026-06"),"")</f>
        <v>1.5323580891450648</v>
      </c>
      <c r="E17" s="9">
        <f>COUNTIF('Comp Set (HelloData)'!N2:N1006,"2026-06")</f>
        <v>87</v>
      </c>
      <c r="F17" s="10">
        <f>IFERROR(SUMIFS('Comp Set (HelloData)'!J2:J1006,'Comp Set (HelloData)'!N2:N1006,"2026-06")/SUMIFS('Comp Set (HelloData)'!F2:F1006,'Comp Set (HelloData)'!N2:N1006,"2026-06"),"")</f>
        <v>1.5154768041237114</v>
      </c>
      <c r="G17" s="10">
        <f>IFERROR(SUMIFS('Comp Set (HelloData)'!L2:L1006,'Comp Set (HelloData)'!N2:N1006,"2026-06")/SUMIFS('Comp Set (HelloData)'!F2:F1006,'Comp Set (HelloData)'!N2:N1006,"2026-06"),"")</f>
        <v>1.2939175257731959</v>
      </c>
    </row>
    <row r="18" spans="1:7" x14ac:dyDescent="0.25">
      <c r="A18" s="11" t="s">
        <v>22</v>
      </c>
      <c r="B18" s="12">
        <f>SUM(B6:B17)</f>
        <v>182</v>
      </c>
      <c r="C18" s="13">
        <f>IFERROR(SUM('The Boardwalk (Yardi)'!I2:I183)/SUM('The Boardwalk (Yardi)'!E2:E183),0)</f>
        <v>1.4333113073426644</v>
      </c>
      <c r="D18" s="13">
        <f>IFERROR(SUM('The Boardwalk (Yardi)'!M2:M183)/SUM('The Boardwalk (Yardi)'!E2:E183),0)</f>
        <v>1.3370167068080507</v>
      </c>
      <c r="E18" s="12">
        <f>SUM(E6:E17)</f>
        <v>1005</v>
      </c>
      <c r="F18" s="13">
        <f>IFERROR(SUM('Comp Set (HelloData)'!J2:J1006)/SUM('Comp Set (HelloData)'!F2:F1006),0)</f>
        <v>1.5388429448809506</v>
      </c>
      <c r="G18" s="13">
        <f>IFERROR(SUM('Comp Set (HelloData)'!L2:L1006)/SUM('Comp Set (HelloData)'!F2:F1006),0)</f>
        <v>1.3217804411542113</v>
      </c>
    </row>
    <row r="48" spans="1:7" ht="15" customHeight="1" x14ac:dyDescent="0.25">
      <c r="A48" s="3" t="s">
        <v>23</v>
      </c>
      <c r="B48" s="3"/>
      <c r="C48" s="3"/>
      <c r="D48" s="3"/>
      <c r="E48" s="3"/>
      <c r="F48" s="3"/>
      <c r="G48" s="3"/>
    </row>
    <row r="49" spans="1:7" ht="15" customHeight="1" x14ac:dyDescent="0.25">
      <c r="A49" s="2" t="s">
        <v>24</v>
      </c>
      <c r="B49" s="2"/>
      <c r="C49" s="2"/>
      <c r="D49" s="2"/>
      <c r="E49" s="2"/>
      <c r="F49" s="2"/>
      <c r="G49" s="2"/>
    </row>
    <row r="50" spans="1:7" ht="23.85" customHeight="1" x14ac:dyDescent="0.25">
      <c r="A50" s="1" t="s">
        <v>25</v>
      </c>
      <c r="B50" s="1"/>
      <c r="C50" s="1"/>
      <c r="D50" s="1"/>
      <c r="E50" s="1"/>
      <c r="F50" s="1"/>
      <c r="G50" s="1"/>
    </row>
    <row r="51" spans="1:7" ht="15" customHeight="1" x14ac:dyDescent="0.25">
      <c r="A51" s="1" t="s">
        <v>26</v>
      </c>
      <c r="B51" s="1"/>
      <c r="C51" s="1"/>
      <c r="D51" s="1"/>
      <c r="E51" s="1"/>
      <c r="F51" s="1"/>
      <c r="G51" s="1"/>
    </row>
    <row r="52" spans="1:7" ht="15" customHeight="1" x14ac:dyDescent="0.25">
      <c r="A52" s="1" t="s">
        <v>27</v>
      </c>
      <c r="B52" s="1"/>
      <c r="C52" s="1"/>
      <c r="D52" s="1"/>
      <c r="E52" s="1"/>
      <c r="F52" s="1"/>
      <c r="G52" s="1"/>
    </row>
    <row r="53" spans="1:7" ht="15" customHeight="1" x14ac:dyDescent="0.25">
      <c r="A53" s="1" t="s">
        <v>28</v>
      </c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ht="15" customHeight="1" x14ac:dyDescent="0.25">
      <c r="A55" s="2" t="s">
        <v>29</v>
      </c>
      <c r="B55" s="2"/>
      <c r="C55" s="2"/>
      <c r="D55" s="2"/>
      <c r="E55" s="2"/>
      <c r="F55" s="2"/>
      <c r="G55" s="2"/>
    </row>
    <row r="56" spans="1:7" ht="15" customHeight="1" x14ac:dyDescent="0.25">
      <c r="A56" s="1" t="s">
        <v>30</v>
      </c>
      <c r="B56" s="1"/>
      <c r="C56" s="1"/>
      <c r="D56" s="1"/>
      <c r="E56" s="1"/>
      <c r="F56" s="1"/>
      <c r="G56" s="1"/>
    </row>
    <row r="57" spans="1:7" ht="15" customHeight="1" x14ac:dyDescent="0.25">
      <c r="A57" s="1" t="s">
        <v>31</v>
      </c>
      <c r="B57" s="1"/>
      <c r="C57" s="1"/>
      <c r="D57" s="1"/>
      <c r="E57" s="1"/>
      <c r="F57" s="1"/>
      <c r="G57" s="1"/>
    </row>
    <row r="58" spans="1:7" ht="15" customHeight="1" x14ac:dyDescent="0.25">
      <c r="A58" s="1" t="s">
        <v>32</v>
      </c>
      <c r="B58" s="1"/>
      <c r="C58" s="1"/>
      <c r="D58" s="1"/>
      <c r="E58" s="1"/>
      <c r="F58" s="1"/>
      <c r="G58" s="1"/>
    </row>
    <row r="59" spans="1:7" ht="15" customHeight="1" x14ac:dyDescent="0.25">
      <c r="A59" s="1" t="s">
        <v>33</v>
      </c>
      <c r="B59" s="1"/>
      <c r="C59" s="1"/>
      <c r="D59" s="1"/>
      <c r="E59" s="1"/>
      <c r="F59" s="1"/>
      <c r="G59" s="1"/>
    </row>
    <row r="60" spans="1:7" ht="15" customHeight="1" x14ac:dyDescent="0.25">
      <c r="A60" s="1" t="s">
        <v>34</v>
      </c>
      <c r="B60" s="1"/>
      <c r="C60" s="1"/>
      <c r="D60" s="1"/>
      <c r="E60" s="1"/>
      <c r="F60" s="1"/>
      <c r="G60" s="1"/>
    </row>
    <row r="61" spans="1:7" ht="15" customHeight="1" x14ac:dyDescent="0.25">
      <c r="A61" s="1" t="s">
        <v>35</v>
      </c>
      <c r="B61" s="1"/>
      <c r="C61" s="1"/>
      <c r="D61" s="1"/>
      <c r="E61" s="1"/>
      <c r="F61" s="1"/>
      <c r="G61" s="1"/>
    </row>
    <row r="62" spans="1:7" ht="15" customHeight="1" x14ac:dyDescent="0.25">
      <c r="A62" s="1" t="s">
        <v>36</v>
      </c>
      <c r="B62" s="1"/>
      <c r="C62" s="1"/>
      <c r="D62" s="1"/>
      <c r="E62" s="1"/>
      <c r="F62" s="1"/>
      <c r="G62" s="1"/>
    </row>
    <row r="63" spans="1:7" ht="15" customHeight="1" x14ac:dyDescent="0.25">
      <c r="A63" s="1" t="s">
        <v>37</v>
      </c>
      <c r="B63" s="1"/>
      <c r="C63" s="1"/>
      <c r="D63" s="1"/>
      <c r="E63" s="1"/>
      <c r="F63" s="1"/>
      <c r="G63" s="1"/>
    </row>
    <row r="64" spans="1:7" ht="15" customHeight="1" x14ac:dyDescent="0.25">
      <c r="A64" s="1" t="s">
        <v>38</v>
      </c>
      <c r="B64" s="1"/>
      <c r="C64" s="1"/>
      <c r="D64" s="1"/>
      <c r="E64" s="1"/>
      <c r="F64" s="1"/>
      <c r="G64" s="1"/>
    </row>
    <row r="65" spans="1:7" ht="15" customHeight="1" x14ac:dyDescent="0.25">
      <c r="A65" s="1" t="s">
        <v>39</v>
      </c>
      <c r="B65" s="1"/>
      <c r="C65" s="1"/>
      <c r="D65" s="1"/>
      <c r="E65" s="1"/>
      <c r="F65" s="1"/>
      <c r="G65" s="1"/>
    </row>
    <row r="66" spans="1:7" ht="15" customHeight="1" x14ac:dyDescent="0.25">
      <c r="A66" s="1" t="s">
        <v>40</v>
      </c>
      <c r="B66" s="1"/>
      <c r="C66" s="1"/>
      <c r="D66" s="1"/>
      <c r="E66" s="1"/>
      <c r="F66" s="1"/>
      <c r="G66" s="1"/>
    </row>
    <row r="67" spans="1:7" ht="15" customHeight="1" x14ac:dyDescent="0.25">
      <c r="A67" s="1" t="s">
        <v>41</v>
      </c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ht="15" customHeight="1" x14ac:dyDescent="0.25">
      <c r="A69" s="3" t="s">
        <v>42</v>
      </c>
      <c r="B69" s="3"/>
      <c r="C69" s="3"/>
      <c r="D69" s="3"/>
      <c r="E69" s="3"/>
      <c r="F69" s="3"/>
      <c r="G69" s="3"/>
    </row>
    <row r="70" spans="1:7" ht="23.85" customHeight="1" x14ac:dyDescent="0.25">
      <c r="A70" s="1" t="s">
        <v>43</v>
      </c>
      <c r="B70" s="1"/>
      <c r="C70" s="1"/>
      <c r="D70" s="1"/>
      <c r="E70" s="1"/>
      <c r="F70" s="1"/>
      <c r="G70" s="1"/>
    </row>
    <row r="71" spans="1:7" ht="15" customHeight="1" x14ac:dyDescent="0.25">
      <c r="A71" s="1" t="s">
        <v>44</v>
      </c>
      <c r="B71" s="1"/>
      <c r="C71" s="1"/>
      <c r="D71" s="1"/>
      <c r="E71" s="1"/>
      <c r="F71" s="1"/>
      <c r="G71" s="1"/>
    </row>
    <row r="72" spans="1:7" ht="23.85" customHeight="1" x14ac:dyDescent="0.25">
      <c r="A72" s="1" t="s">
        <v>45</v>
      </c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ht="15" customHeight="1" x14ac:dyDescent="0.25">
      <c r="A74" s="1" t="s">
        <v>46</v>
      </c>
      <c r="B74" s="1"/>
      <c r="C74" s="1"/>
      <c r="D74" s="1"/>
      <c r="E74" s="1"/>
      <c r="F74" s="1"/>
      <c r="G74" s="1"/>
    </row>
    <row r="75" spans="1:7" ht="23.85" customHeight="1" x14ac:dyDescent="0.25">
      <c r="A75" s="1" t="s">
        <v>47</v>
      </c>
      <c r="B75" s="1"/>
      <c r="C75" s="1"/>
      <c r="D75" s="1"/>
      <c r="E75" s="1"/>
      <c r="F75" s="1"/>
      <c r="G75" s="1"/>
    </row>
    <row r="76" spans="1:7" ht="23.85" customHeight="1" x14ac:dyDescent="0.25">
      <c r="A76" s="1" t="s">
        <v>48</v>
      </c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15" customHeight="1" x14ac:dyDescent="0.25">
      <c r="A78" s="1" t="s">
        <v>49</v>
      </c>
      <c r="B78" s="1"/>
      <c r="C78" s="1"/>
      <c r="D78" s="1"/>
      <c r="E78" s="1"/>
      <c r="F78" s="1"/>
      <c r="G78" s="1"/>
    </row>
    <row r="79" spans="1:7" ht="23.85" customHeight="1" x14ac:dyDescent="0.25">
      <c r="A79" s="1" t="s">
        <v>50</v>
      </c>
      <c r="B79" s="1"/>
      <c r="C79" s="1"/>
      <c r="D79" s="1"/>
      <c r="E79" s="1"/>
      <c r="F79" s="1"/>
      <c r="G79" s="1"/>
    </row>
    <row r="80" spans="1:7" ht="23.85" customHeight="1" x14ac:dyDescent="0.25">
      <c r="A80" s="1" t="s">
        <v>51</v>
      </c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ht="15" customHeight="1" x14ac:dyDescent="0.25">
      <c r="A82" s="1" t="s">
        <v>52</v>
      </c>
      <c r="B82" s="1"/>
      <c r="C82" s="1"/>
      <c r="D82" s="1"/>
      <c r="E82" s="1"/>
      <c r="F82" s="1"/>
      <c r="G82" s="1"/>
    </row>
    <row r="83" spans="1:7" ht="15" customHeight="1" x14ac:dyDescent="0.25">
      <c r="A83" s="1" t="s">
        <v>53</v>
      </c>
      <c r="B83" s="1"/>
      <c r="C83" s="1"/>
      <c r="D83" s="1"/>
      <c r="E83" s="1"/>
      <c r="F83" s="1"/>
      <c r="G83" s="1"/>
    </row>
    <row r="84" spans="1:7" ht="15" customHeight="1" x14ac:dyDescent="0.25">
      <c r="A84" s="1" t="s">
        <v>54</v>
      </c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ht="15" customHeight="1" x14ac:dyDescent="0.25">
      <c r="A86" s="1" t="s">
        <v>55</v>
      </c>
      <c r="B86" s="1"/>
      <c r="C86" s="1"/>
      <c r="D86" s="1"/>
      <c r="E86" s="1"/>
      <c r="F86" s="1"/>
      <c r="G86" s="1"/>
    </row>
    <row r="87" spans="1:7" ht="15" customHeight="1" x14ac:dyDescent="0.25">
      <c r="A87" s="1" t="s">
        <v>56</v>
      </c>
      <c r="B87" s="1"/>
      <c r="C87" s="1"/>
      <c r="D87" s="1"/>
      <c r="E87" s="1"/>
      <c r="F87" s="1"/>
      <c r="G87" s="1"/>
    </row>
    <row r="88" spans="1:7" ht="15" customHeight="1" x14ac:dyDescent="0.25">
      <c r="A88" s="1" t="s">
        <v>57</v>
      </c>
      <c r="B88" s="1"/>
      <c r="C88" s="1"/>
      <c r="D88" s="1"/>
      <c r="E88" s="1"/>
      <c r="F88" s="1"/>
      <c r="G88" s="1"/>
    </row>
    <row r="89" spans="1:7" ht="15" customHeight="1" x14ac:dyDescent="0.25">
      <c r="A89" s="1" t="s">
        <v>58</v>
      </c>
      <c r="B89" s="1"/>
      <c r="C89" s="1"/>
      <c r="D89" s="1"/>
      <c r="E89" s="1"/>
      <c r="F89" s="1"/>
      <c r="G89" s="1"/>
    </row>
    <row r="90" spans="1:7" ht="15" customHeight="1" x14ac:dyDescent="0.25">
      <c r="A90" s="1" t="s">
        <v>59</v>
      </c>
      <c r="B90" s="1"/>
      <c r="C90" s="1"/>
      <c r="D90" s="1"/>
      <c r="E90" s="1"/>
      <c r="F90" s="1"/>
      <c r="G90" s="1"/>
    </row>
    <row r="91" spans="1:7" ht="15" customHeight="1" x14ac:dyDescent="0.25">
      <c r="A91" s="1" t="s">
        <v>60</v>
      </c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ht="15" customHeight="1" x14ac:dyDescent="0.25">
      <c r="A93" s="1" t="s">
        <v>61</v>
      </c>
      <c r="B93" s="1"/>
      <c r="C93" s="1"/>
      <c r="D93" s="1"/>
      <c r="E93" s="1"/>
      <c r="F93" s="1"/>
      <c r="G93" s="1"/>
    </row>
    <row r="94" spans="1:7" ht="23.85" customHeight="1" x14ac:dyDescent="0.25">
      <c r="A94" s="1" t="s">
        <v>62</v>
      </c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ht="15" customHeight="1" x14ac:dyDescent="0.25">
      <c r="A96" s="1" t="s">
        <v>63</v>
      </c>
      <c r="B96" s="1"/>
      <c r="C96" s="1"/>
      <c r="D96" s="1"/>
      <c r="E96" s="1"/>
      <c r="F96" s="1"/>
      <c r="G96" s="1"/>
    </row>
    <row r="97" spans="1:7" ht="23.85" customHeight="1" x14ac:dyDescent="0.25">
      <c r="A97" s="1" t="s">
        <v>64</v>
      </c>
      <c r="B97" s="1"/>
      <c r="C97" s="1"/>
      <c r="D97" s="1"/>
      <c r="E97" s="1"/>
      <c r="F97" s="1"/>
      <c r="G97" s="1"/>
    </row>
  </sheetData>
  <mergeCells count="53">
    <mergeCell ref="A95:G95"/>
    <mergeCell ref="A96:G96"/>
    <mergeCell ref="A97:G97"/>
    <mergeCell ref="A90:G90"/>
    <mergeCell ref="A91:G91"/>
    <mergeCell ref="A92:G92"/>
    <mergeCell ref="A93:G93"/>
    <mergeCell ref="A94:G94"/>
    <mergeCell ref="A85:G85"/>
    <mergeCell ref="A86:G86"/>
    <mergeCell ref="A87:G87"/>
    <mergeCell ref="A88:G88"/>
    <mergeCell ref="A89:G89"/>
    <mergeCell ref="A80:G80"/>
    <mergeCell ref="A81:G81"/>
    <mergeCell ref="A82:G82"/>
    <mergeCell ref="A83:G83"/>
    <mergeCell ref="A84:G84"/>
    <mergeCell ref="A75:G75"/>
    <mergeCell ref="A76:G76"/>
    <mergeCell ref="A77:G77"/>
    <mergeCell ref="A78:G78"/>
    <mergeCell ref="A79:G79"/>
    <mergeCell ref="A70:G70"/>
    <mergeCell ref="A71:G71"/>
    <mergeCell ref="A72:G72"/>
    <mergeCell ref="A73:G73"/>
    <mergeCell ref="A74:G74"/>
    <mergeCell ref="A65:G65"/>
    <mergeCell ref="A66:G66"/>
    <mergeCell ref="A67:G67"/>
    <mergeCell ref="A68:G68"/>
    <mergeCell ref="A69:G69"/>
    <mergeCell ref="A60:G60"/>
    <mergeCell ref="A61:G61"/>
    <mergeCell ref="A62:G62"/>
    <mergeCell ref="A63:G63"/>
    <mergeCell ref="A64:G64"/>
    <mergeCell ref="A55:G55"/>
    <mergeCell ref="A56:G56"/>
    <mergeCell ref="A57:G57"/>
    <mergeCell ref="A58:G58"/>
    <mergeCell ref="A59:G59"/>
    <mergeCell ref="A50:G50"/>
    <mergeCell ref="A51:G51"/>
    <mergeCell ref="A52:G52"/>
    <mergeCell ref="A53:G53"/>
    <mergeCell ref="A54:G54"/>
    <mergeCell ref="A1:G1"/>
    <mergeCell ref="A2:G2"/>
    <mergeCell ref="A3:G3"/>
    <mergeCell ref="A48:G48"/>
    <mergeCell ref="A49:G4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0" customWidth="1"/>
    <col min="3" max="3" width="11" customWidth="1"/>
    <col min="4" max="4" width="10" customWidth="1"/>
    <col min="5" max="5" width="8" customWidth="1"/>
    <col min="6" max="6" width="12" customWidth="1"/>
    <col min="7" max="7" width="10" customWidth="1"/>
    <col min="8" max="8" width="12" customWidth="1"/>
    <col min="9" max="9" width="11" customWidth="1"/>
    <col min="10" max="10" width="14" customWidth="1"/>
    <col min="11" max="11" width="11" customWidth="1"/>
    <col min="12" max="12" width="14" customWidth="1"/>
    <col min="13" max="13" width="13" customWidth="1"/>
    <col min="14" max="14" width="11" customWidth="1"/>
    <col min="15" max="15" width="12" customWidth="1"/>
    <col min="16" max="16" width="9" customWidth="1"/>
  </cols>
  <sheetData>
    <row r="1" spans="1:16" ht="45" x14ac:dyDescent="0.25">
      <c r="A1" s="7" t="s">
        <v>65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70</v>
      </c>
      <c r="G1" s="7" t="s">
        <v>71</v>
      </c>
      <c r="H1" s="7" t="s">
        <v>72</v>
      </c>
      <c r="I1" s="7" t="s">
        <v>73</v>
      </c>
      <c r="J1" s="7" t="s">
        <v>74</v>
      </c>
      <c r="K1" s="7" t="s">
        <v>75</v>
      </c>
      <c r="L1" s="7" t="s">
        <v>76</v>
      </c>
      <c r="M1" s="7" t="s">
        <v>77</v>
      </c>
      <c r="N1" s="7" t="s">
        <v>78</v>
      </c>
      <c r="O1" s="7" t="s">
        <v>79</v>
      </c>
      <c r="P1" s="7" t="s">
        <v>3</v>
      </c>
    </row>
    <row r="2" spans="1:16" x14ac:dyDescent="0.25">
      <c r="A2" t="s">
        <v>80</v>
      </c>
      <c r="B2" t="s">
        <v>81</v>
      </c>
      <c r="C2" t="s">
        <v>82</v>
      </c>
      <c r="D2" t="s">
        <v>83</v>
      </c>
      <c r="E2">
        <v>1130</v>
      </c>
      <c r="F2" s="14">
        <v>45841</v>
      </c>
      <c r="G2">
        <v>12</v>
      </c>
      <c r="H2" s="15">
        <v>1825</v>
      </c>
      <c r="I2" s="15">
        <v>1825</v>
      </c>
      <c r="J2" s="15">
        <v>1825</v>
      </c>
      <c r="K2">
        <v>1</v>
      </c>
      <c r="L2" s="15">
        <v>1825</v>
      </c>
      <c r="M2" s="15">
        <v>1672.9166666666699</v>
      </c>
      <c r="N2" s="16">
        <f t="shared" ref="N2:N33" si="0">IFERROR(I2/E2,0)</f>
        <v>1.6150442477876106</v>
      </c>
      <c r="O2" s="16">
        <f t="shared" ref="O2:O33" si="1">IFERROR(M2/E2,0)</f>
        <v>1.480457227138646</v>
      </c>
      <c r="P2" t="s">
        <v>84</v>
      </c>
    </row>
    <row r="3" spans="1:16" x14ac:dyDescent="0.25">
      <c r="A3" t="s">
        <v>80</v>
      </c>
      <c r="B3" t="s">
        <v>85</v>
      </c>
      <c r="C3" t="s">
        <v>86</v>
      </c>
      <c r="D3" t="s">
        <v>87</v>
      </c>
      <c r="E3">
        <v>814</v>
      </c>
      <c r="F3" s="14">
        <v>45843</v>
      </c>
      <c r="G3">
        <v>12</v>
      </c>
      <c r="H3" s="15">
        <v>1499</v>
      </c>
      <c r="I3" s="15">
        <v>1499</v>
      </c>
      <c r="J3" s="15">
        <v>1499</v>
      </c>
      <c r="K3">
        <v>1</v>
      </c>
      <c r="L3" s="15">
        <v>1499</v>
      </c>
      <c r="M3" s="15">
        <v>1374.0833333333301</v>
      </c>
      <c r="N3" s="16">
        <f t="shared" si="0"/>
        <v>1.8415233415233416</v>
      </c>
      <c r="O3" s="16">
        <f t="shared" si="1"/>
        <v>1.6880630630630591</v>
      </c>
      <c r="P3" t="s">
        <v>84</v>
      </c>
    </row>
    <row r="4" spans="1:16" x14ac:dyDescent="0.25">
      <c r="A4" t="s">
        <v>80</v>
      </c>
      <c r="B4" t="s">
        <v>88</v>
      </c>
      <c r="C4" t="s">
        <v>89</v>
      </c>
      <c r="D4" t="s">
        <v>90</v>
      </c>
      <c r="E4">
        <v>500</v>
      </c>
      <c r="F4" s="14">
        <v>45846</v>
      </c>
      <c r="G4">
        <v>12</v>
      </c>
      <c r="H4" s="15">
        <v>1090</v>
      </c>
      <c r="I4" s="15">
        <v>1090</v>
      </c>
      <c r="J4" s="15">
        <v>1090</v>
      </c>
      <c r="K4">
        <v>1</v>
      </c>
      <c r="L4" s="15">
        <v>1090</v>
      </c>
      <c r="M4" s="15">
        <v>999.16666666666697</v>
      </c>
      <c r="N4" s="16">
        <f t="shared" si="0"/>
        <v>2.1800000000000002</v>
      </c>
      <c r="O4" s="16">
        <f t="shared" si="1"/>
        <v>1.998333333333334</v>
      </c>
      <c r="P4" t="s">
        <v>84</v>
      </c>
    </row>
    <row r="5" spans="1:16" x14ac:dyDescent="0.25">
      <c r="A5" t="s">
        <v>80</v>
      </c>
      <c r="B5" t="s">
        <v>91</v>
      </c>
      <c r="C5" t="s">
        <v>92</v>
      </c>
      <c r="D5" t="s">
        <v>93</v>
      </c>
      <c r="E5">
        <v>657</v>
      </c>
      <c r="F5" s="14">
        <v>45847</v>
      </c>
      <c r="G5">
        <v>12</v>
      </c>
      <c r="H5" s="15">
        <v>1240</v>
      </c>
      <c r="I5" s="15">
        <v>1240</v>
      </c>
      <c r="J5" s="15">
        <v>2480</v>
      </c>
      <c r="K5">
        <v>2</v>
      </c>
      <c r="L5" s="15">
        <v>2480</v>
      </c>
      <c r="M5" s="15">
        <v>1033.3333333333301</v>
      </c>
      <c r="N5" s="16">
        <f t="shared" si="0"/>
        <v>1.8873668188736681</v>
      </c>
      <c r="O5" s="16">
        <f t="shared" si="1"/>
        <v>1.5728056823947185</v>
      </c>
      <c r="P5" t="s">
        <v>84</v>
      </c>
    </row>
    <row r="6" spans="1:16" x14ac:dyDescent="0.25">
      <c r="A6" t="s">
        <v>80</v>
      </c>
      <c r="B6" t="s">
        <v>94</v>
      </c>
      <c r="C6" t="s">
        <v>95</v>
      </c>
      <c r="D6" t="s">
        <v>96</v>
      </c>
      <c r="E6">
        <v>930</v>
      </c>
      <c r="F6" s="14">
        <v>45852</v>
      </c>
      <c r="G6">
        <v>12</v>
      </c>
      <c r="H6" s="15">
        <v>1329</v>
      </c>
      <c r="I6" s="15">
        <v>1424</v>
      </c>
      <c r="J6" s="15">
        <v>2848</v>
      </c>
      <c r="K6">
        <v>2</v>
      </c>
      <c r="L6" s="15">
        <v>2848</v>
      </c>
      <c r="M6" s="15">
        <v>1186.6666666666699</v>
      </c>
      <c r="N6" s="16">
        <f t="shared" si="0"/>
        <v>1.5311827956989248</v>
      </c>
      <c r="O6" s="16">
        <f t="shared" si="1"/>
        <v>1.2759856630824409</v>
      </c>
      <c r="P6" t="s">
        <v>84</v>
      </c>
    </row>
    <row r="7" spans="1:16" x14ac:dyDescent="0.25">
      <c r="A7" t="s">
        <v>80</v>
      </c>
      <c r="B7" t="s">
        <v>97</v>
      </c>
      <c r="C7" t="s">
        <v>98</v>
      </c>
      <c r="D7" t="s">
        <v>99</v>
      </c>
      <c r="E7">
        <v>550</v>
      </c>
      <c r="F7" s="14">
        <v>45853</v>
      </c>
      <c r="G7">
        <v>12</v>
      </c>
      <c r="H7" s="15">
        <v>1195</v>
      </c>
      <c r="I7" s="15">
        <v>1195</v>
      </c>
      <c r="J7" s="15">
        <v>1792.5</v>
      </c>
      <c r="K7">
        <v>1.5</v>
      </c>
      <c r="L7" s="15">
        <v>1792.5</v>
      </c>
      <c r="M7" s="15">
        <v>1045.625</v>
      </c>
      <c r="N7" s="16">
        <f t="shared" si="0"/>
        <v>2.1727272727272728</v>
      </c>
      <c r="O7" s="16">
        <f t="shared" si="1"/>
        <v>1.9011363636363636</v>
      </c>
      <c r="P7" t="s">
        <v>84</v>
      </c>
    </row>
    <row r="8" spans="1:16" x14ac:dyDescent="0.25">
      <c r="A8" t="s">
        <v>80</v>
      </c>
      <c r="B8" t="s">
        <v>100</v>
      </c>
      <c r="C8" t="s">
        <v>92</v>
      </c>
      <c r="D8" t="s">
        <v>101</v>
      </c>
      <c r="E8">
        <v>657</v>
      </c>
      <c r="F8" s="14">
        <v>45856</v>
      </c>
      <c r="G8">
        <v>12</v>
      </c>
      <c r="H8" s="15">
        <v>1330</v>
      </c>
      <c r="I8" s="15">
        <v>1330</v>
      </c>
      <c r="J8" s="15">
        <v>2660</v>
      </c>
      <c r="K8">
        <v>2</v>
      </c>
      <c r="L8" s="15">
        <v>2660</v>
      </c>
      <c r="M8" s="15">
        <v>1108.3333333333301</v>
      </c>
      <c r="N8" s="16">
        <f t="shared" si="0"/>
        <v>2.0243531202435312</v>
      </c>
      <c r="O8" s="16">
        <f t="shared" si="1"/>
        <v>1.686960933536271</v>
      </c>
      <c r="P8" t="s">
        <v>84</v>
      </c>
    </row>
    <row r="9" spans="1:16" x14ac:dyDescent="0.25">
      <c r="A9" t="s">
        <v>80</v>
      </c>
      <c r="B9" t="s">
        <v>102</v>
      </c>
      <c r="C9" t="s">
        <v>98</v>
      </c>
      <c r="D9" t="s">
        <v>103</v>
      </c>
      <c r="E9">
        <v>550</v>
      </c>
      <c r="F9" s="14">
        <v>45857</v>
      </c>
      <c r="G9">
        <v>12</v>
      </c>
      <c r="H9" s="15">
        <v>1020</v>
      </c>
      <c r="I9" s="15">
        <v>1020</v>
      </c>
      <c r="J9" s="15">
        <v>0</v>
      </c>
      <c r="K9">
        <v>0</v>
      </c>
      <c r="L9" s="15">
        <v>0</v>
      </c>
      <c r="M9" s="15">
        <v>1020</v>
      </c>
      <c r="N9" s="16">
        <f t="shared" si="0"/>
        <v>1.8545454545454545</v>
      </c>
      <c r="O9" s="16">
        <f t="shared" si="1"/>
        <v>1.8545454545454545</v>
      </c>
      <c r="P9" t="s">
        <v>84</v>
      </c>
    </row>
    <row r="10" spans="1:16" x14ac:dyDescent="0.25">
      <c r="A10" t="s">
        <v>80</v>
      </c>
      <c r="B10" t="s">
        <v>104</v>
      </c>
      <c r="C10" t="s">
        <v>82</v>
      </c>
      <c r="D10" t="s">
        <v>105</v>
      </c>
      <c r="E10">
        <v>1130</v>
      </c>
      <c r="F10" s="14">
        <v>45861</v>
      </c>
      <c r="G10">
        <v>12</v>
      </c>
      <c r="H10" s="15">
        <v>1735</v>
      </c>
      <c r="I10" s="15">
        <v>1735</v>
      </c>
      <c r="J10" s="15">
        <v>3720</v>
      </c>
      <c r="K10">
        <v>2.1440922190201701</v>
      </c>
      <c r="L10" s="15">
        <v>3720</v>
      </c>
      <c r="M10" s="15">
        <v>1425</v>
      </c>
      <c r="N10" s="16">
        <f t="shared" si="0"/>
        <v>1.5353982300884956</v>
      </c>
      <c r="O10" s="16">
        <f t="shared" si="1"/>
        <v>1.2610619469026549</v>
      </c>
      <c r="P10" t="s">
        <v>84</v>
      </c>
    </row>
    <row r="11" spans="1:16" x14ac:dyDescent="0.25">
      <c r="A11" t="s">
        <v>80</v>
      </c>
      <c r="B11" t="s">
        <v>106</v>
      </c>
      <c r="C11" t="s">
        <v>92</v>
      </c>
      <c r="D11" t="s">
        <v>107</v>
      </c>
      <c r="E11">
        <v>657</v>
      </c>
      <c r="F11" s="14">
        <v>45863</v>
      </c>
      <c r="G11">
        <v>12</v>
      </c>
      <c r="H11" s="15">
        <v>1255</v>
      </c>
      <c r="I11" s="15">
        <v>1255</v>
      </c>
      <c r="J11" s="15">
        <v>1255</v>
      </c>
      <c r="K11">
        <v>1</v>
      </c>
      <c r="L11" s="15">
        <v>1255</v>
      </c>
      <c r="M11" s="15">
        <v>1150.4166666666699</v>
      </c>
      <c r="N11" s="16">
        <f t="shared" si="0"/>
        <v>1.9101978691019788</v>
      </c>
      <c r="O11" s="16">
        <f t="shared" si="1"/>
        <v>1.7510147133434855</v>
      </c>
      <c r="P11" t="s">
        <v>84</v>
      </c>
    </row>
    <row r="12" spans="1:16" x14ac:dyDescent="0.25">
      <c r="A12" t="s">
        <v>80</v>
      </c>
      <c r="B12" t="s">
        <v>108</v>
      </c>
      <c r="C12" t="s">
        <v>92</v>
      </c>
      <c r="D12" t="s">
        <v>109</v>
      </c>
      <c r="E12">
        <v>657</v>
      </c>
      <c r="F12" s="14">
        <v>45863</v>
      </c>
      <c r="G12">
        <v>12</v>
      </c>
      <c r="H12" s="15">
        <v>1390</v>
      </c>
      <c r="I12" s="15">
        <v>1390</v>
      </c>
      <c r="J12" s="15">
        <v>0</v>
      </c>
      <c r="K12">
        <v>0</v>
      </c>
      <c r="L12" s="15">
        <v>0</v>
      </c>
      <c r="M12" s="15">
        <v>1390</v>
      </c>
      <c r="N12" s="16">
        <f t="shared" si="0"/>
        <v>2.1156773211567734</v>
      </c>
      <c r="O12" s="16">
        <f t="shared" si="1"/>
        <v>2.1156773211567734</v>
      </c>
      <c r="P12" t="s">
        <v>84</v>
      </c>
    </row>
    <row r="13" spans="1:16" x14ac:dyDescent="0.25">
      <c r="A13" t="s">
        <v>80</v>
      </c>
      <c r="B13" t="s">
        <v>110</v>
      </c>
      <c r="C13" t="s">
        <v>86</v>
      </c>
      <c r="D13" t="s">
        <v>111</v>
      </c>
      <c r="E13">
        <v>814</v>
      </c>
      <c r="F13" s="14">
        <v>45866</v>
      </c>
      <c r="G13">
        <v>12</v>
      </c>
      <c r="H13" s="15">
        <v>1565</v>
      </c>
      <c r="I13" s="15">
        <v>1565</v>
      </c>
      <c r="J13" s="15">
        <v>3130</v>
      </c>
      <c r="K13">
        <v>2</v>
      </c>
      <c r="L13" s="15">
        <v>3130</v>
      </c>
      <c r="M13" s="15">
        <v>1304.1666666666699</v>
      </c>
      <c r="N13" s="16">
        <f t="shared" si="0"/>
        <v>1.9226044226044225</v>
      </c>
      <c r="O13" s="16">
        <f t="shared" si="1"/>
        <v>1.6021703521703561</v>
      </c>
      <c r="P13" t="s">
        <v>84</v>
      </c>
    </row>
    <row r="14" spans="1:16" x14ac:dyDescent="0.25">
      <c r="A14" t="s">
        <v>80</v>
      </c>
      <c r="B14" t="s">
        <v>112</v>
      </c>
      <c r="C14" t="s">
        <v>113</v>
      </c>
      <c r="D14" t="s">
        <v>114</v>
      </c>
      <c r="E14">
        <v>1028</v>
      </c>
      <c r="F14" s="14">
        <v>45870</v>
      </c>
      <c r="G14">
        <v>12</v>
      </c>
      <c r="H14" s="15">
        <v>1535</v>
      </c>
      <c r="I14" s="15">
        <v>1535</v>
      </c>
      <c r="J14" s="15">
        <v>0</v>
      </c>
      <c r="K14">
        <v>0</v>
      </c>
      <c r="L14" s="15">
        <v>0</v>
      </c>
      <c r="M14" s="15">
        <v>1535</v>
      </c>
      <c r="N14" s="16">
        <f t="shared" si="0"/>
        <v>1.4931906614785992</v>
      </c>
      <c r="O14" s="16">
        <f t="shared" si="1"/>
        <v>1.4931906614785992</v>
      </c>
      <c r="P14" t="s">
        <v>115</v>
      </c>
    </row>
    <row r="15" spans="1:16" x14ac:dyDescent="0.25">
      <c r="A15" t="s">
        <v>80</v>
      </c>
      <c r="B15" t="s">
        <v>116</v>
      </c>
      <c r="C15" t="s">
        <v>82</v>
      </c>
      <c r="D15" t="s">
        <v>117</v>
      </c>
      <c r="E15">
        <v>1130</v>
      </c>
      <c r="F15" s="14">
        <v>45870</v>
      </c>
      <c r="G15">
        <v>12</v>
      </c>
      <c r="H15" s="15">
        <v>1800</v>
      </c>
      <c r="I15" s="15">
        <v>1800</v>
      </c>
      <c r="J15" s="15">
        <v>3600</v>
      </c>
      <c r="K15">
        <v>2</v>
      </c>
      <c r="L15" s="15">
        <v>3600</v>
      </c>
      <c r="M15" s="15">
        <v>1500</v>
      </c>
      <c r="N15" s="16">
        <f t="shared" si="0"/>
        <v>1.5929203539823009</v>
      </c>
      <c r="O15" s="16">
        <f t="shared" si="1"/>
        <v>1.3274336283185841</v>
      </c>
      <c r="P15" t="s">
        <v>115</v>
      </c>
    </row>
    <row r="16" spans="1:16" x14ac:dyDescent="0.25">
      <c r="A16" t="s">
        <v>80</v>
      </c>
      <c r="B16" t="s">
        <v>118</v>
      </c>
      <c r="C16" t="s">
        <v>119</v>
      </c>
      <c r="D16" t="s">
        <v>120</v>
      </c>
      <c r="E16">
        <v>700</v>
      </c>
      <c r="F16" s="14">
        <v>45870</v>
      </c>
      <c r="G16">
        <v>12</v>
      </c>
      <c r="H16" s="15">
        <v>1164</v>
      </c>
      <c r="I16" s="15">
        <v>1164</v>
      </c>
      <c r="J16" s="15">
        <v>0</v>
      </c>
      <c r="K16">
        <v>0</v>
      </c>
      <c r="L16" s="15">
        <v>0</v>
      </c>
      <c r="M16" s="15">
        <v>1164</v>
      </c>
      <c r="N16" s="16">
        <f t="shared" si="0"/>
        <v>1.6628571428571428</v>
      </c>
      <c r="O16" s="16">
        <f t="shared" si="1"/>
        <v>1.6628571428571428</v>
      </c>
      <c r="P16" t="s">
        <v>115</v>
      </c>
    </row>
    <row r="17" spans="1:16" x14ac:dyDescent="0.25">
      <c r="A17" t="s">
        <v>80</v>
      </c>
      <c r="B17" t="s">
        <v>121</v>
      </c>
      <c r="C17" t="s">
        <v>92</v>
      </c>
      <c r="D17" t="s">
        <v>122</v>
      </c>
      <c r="E17">
        <v>657</v>
      </c>
      <c r="F17" s="14">
        <v>45870</v>
      </c>
      <c r="G17">
        <v>12</v>
      </c>
      <c r="H17" s="15">
        <v>1315</v>
      </c>
      <c r="I17" s="15">
        <v>1115</v>
      </c>
      <c r="J17" s="15">
        <v>2630</v>
      </c>
      <c r="K17">
        <v>2.3587443946188298</v>
      </c>
      <c r="L17" s="15">
        <v>2630</v>
      </c>
      <c r="M17" s="15">
        <v>895.83333333333303</v>
      </c>
      <c r="N17" s="16">
        <f t="shared" si="0"/>
        <v>1.6971080669710807</v>
      </c>
      <c r="O17" s="16">
        <f t="shared" si="1"/>
        <v>1.3635210553018768</v>
      </c>
      <c r="P17" t="s">
        <v>115</v>
      </c>
    </row>
    <row r="18" spans="1:16" x14ac:dyDescent="0.25">
      <c r="A18" t="s">
        <v>80</v>
      </c>
      <c r="B18" t="s">
        <v>121</v>
      </c>
      <c r="C18" t="s">
        <v>92</v>
      </c>
      <c r="D18" t="s">
        <v>122</v>
      </c>
      <c r="E18">
        <v>657</v>
      </c>
      <c r="F18" s="14">
        <v>45870</v>
      </c>
      <c r="G18">
        <v>12</v>
      </c>
      <c r="H18" s="15">
        <v>1315</v>
      </c>
      <c r="I18" s="15">
        <v>1315</v>
      </c>
      <c r="J18" s="15">
        <v>2630</v>
      </c>
      <c r="K18">
        <v>2</v>
      </c>
      <c r="L18" s="15">
        <v>2630</v>
      </c>
      <c r="M18" s="15">
        <v>1095.8333333333301</v>
      </c>
      <c r="N18" s="16">
        <f t="shared" si="0"/>
        <v>2.0015220700152208</v>
      </c>
      <c r="O18" s="16">
        <f t="shared" si="1"/>
        <v>1.6679350583460122</v>
      </c>
      <c r="P18" t="s">
        <v>115</v>
      </c>
    </row>
    <row r="19" spans="1:16" x14ac:dyDescent="0.25">
      <c r="A19" t="s">
        <v>80</v>
      </c>
      <c r="B19" t="s">
        <v>123</v>
      </c>
      <c r="C19" t="s">
        <v>119</v>
      </c>
      <c r="D19" t="s">
        <v>124</v>
      </c>
      <c r="E19">
        <v>700</v>
      </c>
      <c r="F19" s="14">
        <v>45873</v>
      </c>
      <c r="G19">
        <v>12</v>
      </c>
      <c r="H19" s="15">
        <v>1299</v>
      </c>
      <c r="I19" s="15">
        <v>1299</v>
      </c>
      <c r="J19" s="15">
        <v>1299</v>
      </c>
      <c r="K19">
        <v>1</v>
      </c>
      <c r="L19" s="15">
        <v>1299</v>
      </c>
      <c r="M19" s="15">
        <v>1190.75</v>
      </c>
      <c r="N19" s="16">
        <f t="shared" si="0"/>
        <v>1.8557142857142856</v>
      </c>
      <c r="O19" s="16">
        <f t="shared" si="1"/>
        <v>1.7010714285714286</v>
      </c>
      <c r="P19" t="s">
        <v>115</v>
      </c>
    </row>
    <row r="20" spans="1:16" x14ac:dyDescent="0.25">
      <c r="A20" t="s">
        <v>80</v>
      </c>
      <c r="B20" t="s">
        <v>125</v>
      </c>
      <c r="C20" t="s">
        <v>92</v>
      </c>
      <c r="D20" t="s">
        <v>126</v>
      </c>
      <c r="E20">
        <v>657</v>
      </c>
      <c r="F20" s="14">
        <v>45873</v>
      </c>
      <c r="G20">
        <v>12</v>
      </c>
      <c r="H20" s="15">
        <v>1290</v>
      </c>
      <c r="I20" s="15">
        <v>1290</v>
      </c>
      <c r="J20" s="15">
        <v>2580</v>
      </c>
      <c r="K20">
        <v>2</v>
      </c>
      <c r="L20" s="15">
        <v>2580</v>
      </c>
      <c r="M20" s="15">
        <v>1075</v>
      </c>
      <c r="N20" s="16">
        <f t="shared" si="0"/>
        <v>1.9634703196347032</v>
      </c>
      <c r="O20" s="16">
        <f t="shared" si="1"/>
        <v>1.6362252663622527</v>
      </c>
      <c r="P20" t="s">
        <v>115</v>
      </c>
    </row>
    <row r="21" spans="1:16" x14ac:dyDescent="0.25">
      <c r="A21" t="s">
        <v>80</v>
      </c>
      <c r="B21" t="s">
        <v>127</v>
      </c>
      <c r="C21" t="s">
        <v>92</v>
      </c>
      <c r="D21" t="s">
        <v>128</v>
      </c>
      <c r="E21">
        <v>657</v>
      </c>
      <c r="F21" s="14">
        <v>45877</v>
      </c>
      <c r="G21">
        <v>12</v>
      </c>
      <c r="H21" s="15">
        <v>1315</v>
      </c>
      <c r="I21" s="15">
        <v>1315</v>
      </c>
      <c r="J21" s="15">
        <v>2630</v>
      </c>
      <c r="K21">
        <v>2</v>
      </c>
      <c r="L21" s="15">
        <v>2630</v>
      </c>
      <c r="M21" s="15">
        <v>1095.8333333333301</v>
      </c>
      <c r="N21" s="16">
        <f t="shared" si="0"/>
        <v>2.0015220700152208</v>
      </c>
      <c r="O21" s="16">
        <f t="shared" si="1"/>
        <v>1.6679350583460122</v>
      </c>
      <c r="P21" t="s">
        <v>115</v>
      </c>
    </row>
    <row r="22" spans="1:16" x14ac:dyDescent="0.25">
      <c r="A22" t="s">
        <v>80</v>
      </c>
      <c r="B22" t="s">
        <v>129</v>
      </c>
      <c r="C22" t="s">
        <v>98</v>
      </c>
      <c r="D22" t="s">
        <v>130</v>
      </c>
      <c r="E22">
        <v>550</v>
      </c>
      <c r="F22" s="14">
        <v>45878</v>
      </c>
      <c r="G22">
        <v>12</v>
      </c>
      <c r="H22" s="15">
        <v>1145</v>
      </c>
      <c r="I22" s="15">
        <v>1145</v>
      </c>
      <c r="J22" s="15">
        <v>2290</v>
      </c>
      <c r="K22">
        <v>2</v>
      </c>
      <c r="L22" s="15">
        <v>2290</v>
      </c>
      <c r="M22" s="15">
        <v>954.16666666666697</v>
      </c>
      <c r="N22" s="16">
        <f t="shared" si="0"/>
        <v>2.081818181818182</v>
      </c>
      <c r="O22" s="16">
        <f t="shared" si="1"/>
        <v>1.7348484848484853</v>
      </c>
      <c r="P22" t="s">
        <v>115</v>
      </c>
    </row>
    <row r="23" spans="1:16" x14ac:dyDescent="0.25">
      <c r="A23" t="s">
        <v>80</v>
      </c>
      <c r="B23" t="s">
        <v>131</v>
      </c>
      <c r="C23" t="s">
        <v>98</v>
      </c>
      <c r="D23" t="s">
        <v>132</v>
      </c>
      <c r="E23">
        <v>550</v>
      </c>
      <c r="F23" s="14">
        <v>45883</v>
      </c>
      <c r="G23">
        <v>12</v>
      </c>
      <c r="H23" s="15">
        <v>1095</v>
      </c>
      <c r="I23" s="15">
        <v>1095</v>
      </c>
      <c r="J23" s="15">
        <v>2190</v>
      </c>
      <c r="K23">
        <v>2</v>
      </c>
      <c r="L23" s="15">
        <v>2190</v>
      </c>
      <c r="M23" s="15">
        <v>912.5</v>
      </c>
      <c r="N23" s="16">
        <f t="shared" si="0"/>
        <v>1.990909090909091</v>
      </c>
      <c r="O23" s="16">
        <f t="shared" si="1"/>
        <v>1.6590909090909092</v>
      </c>
      <c r="P23" t="s">
        <v>115</v>
      </c>
    </row>
    <row r="24" spans="1:16" x14ac:dyDescent="0.25">
      <c r="A24" t="s">
        <v>80</v>
      </c>
      <c r="B24" t="s">
        <v>133</v>
      </c>
      <c r="C24" t="s">
        <v>82</v>
      </c>
      <c r="D24" t="s">
        <v>134</v>
      </c>
      <c r="E24">
        <v>1130</v>
      </c>
      <c r="F24" s="14">
        <v>45884</v>
      </c>
      <c r="G24">
        <v>12</v>
      </c>
      <c r="H24" s="15">
        <v>1870</v>
      </c>
      <c r="I24" s="15">
        <v>1870</v>
      </c>
      <c r="J24" s="15">
        <v>3740</v>
      </c>
      <c r="K24">
        <v>2</v>
      </c>
      <c r="L24" s="15">
        <v>3740</v>
      </c>
      <c r="M24" s="15">
        <v>1558.3333333333301</v>
      </c>
      <c r="N24" s="16">
        <f t="shared" si="0"/>
        <v>1.654867256637168</v>
      </c>
      <c r="O24" s="16">
        <f t="shared" si="1"/>
        <v>1.3790560471976372</v>
      </c>
      <c r="P24" t="s">
        <v>115</v>
      </c>
    </row>
    <row r="25" spans="1:16" x14ac:dyDescent="0.25">
      <c r="A25" t="s">
        <v>80</v>
      </c>
      <c r="B25" t="s">
        <v>135</v>
      </c>
      <c r="C25" t="s">
        <v>89</v>
      </c>
      <c r="D25" t="s">
        <v>136</v>
      </c>
      <c r="E25">
        <v>500</v>
      </c>
      <c r="F25" s="14">
        <v>45884</v>
      </c>
      <c r="G25">
        <v>12</v>
      </c>
      <c r="H25" s="15">
        <v>1050</v>
      </c>
      <c r="I25" s="15">
        <v>1050</v>
      </c>
      <c r="J25" s="15">
        <v>2100</v>
      </c>
      <c r="K25">
        <v>2</v>
      </c>
      <c r="L25" s="15">
        <v>2100</v>
      </c>
      <c r="M25" s="15">
        <v>875</v>
      </c>
      <c r="N25" s="16">
        <f t="shared" si="0"/>
        <v>2.1</v>
      </c>
      <c r="O25" s="16">
        <f t="shared" si="1"/>
        <v>1.75</v>
      </c>
      <c r="P25" t="s">
        <v>115</v>
      </c>
    </row>
    <row r="26" spans="1:16" x14ac:dyDescent="0.25">
      <c r="A26" t="s">
        <v>80</v>
      </c>
      <c r="B26" t="s">
        <v>137</v>
      </c>
      <c r="C26" t="s">
        <v>98</v>
      </c>
      <c r="D26" t="s">
        <v>138</v>
      </c>
      <c r="E26">
        <v>550</v>
      </c>
      <c r="F26" s="14">
        <v>45887</v>
      </c>
      <c r="G26">
        <v>12</v>
      </c>
      <c r="H26" s="15">
        <v>1205</v>
      </c>
      <c r="I26" s="15">
        <v>1205</v>
      </c>
      <c r="J26" s="15">
        <v>2410</v>
      </c>
      <c r="K26">
        <v>2</v>
      </c>
      <c r="L26" s="15">
        <v>2410</v>
      </c>
      <c r="M26" s="15">
        <v>1004.16666666667</v>
      </c>
      <c r="N26" s="16">
        <f t="shared" si="0"/>
        <v>2.1909090909090909</v>
      </c>
      <c r="O26" s="16">
        <f t="shared" si="1"/>
        <v>1.8257575757575819</v>
      </c>
      <c r="P26" t="s">
        <v>115</v>
      </c>
    </row>
    <row r="27" spans="1:16" x14ac:dyDescent="0.25">
      <c r="A27" t="s">
        <v>80</v>
      </c>
      <c r="B27" t="s">
        <v>139</v>
      </c>
      <c r="C27" t="s">
        <v>86</v>
      </c>
      <c r="D27" t="s">
        <v>140</v>
      </c>
      <c r="E27">
        <v>814</v>
      </c>
      <c r="F27" s="14">
        <v>45888</v>
      </c>
      <c r="G27">
        <v>12</v>
      </c>
      <c r="H27" s="15">
        <v>1330</v>
      </c>
      <c r="I27" s="15">
        <v>1330</v>
      </c>
      <c r="J27" s="15">
        <v>0</v>
      </c>
      <c r="K27">
        <v>0</v>
      </c>
      <c r="L27" s="15">
        <v>0</v>
      </c>
      <c r="M27" s="15">
        <v>1330</v>
      </c>
      <c r="N27" s="16">
        <f t="shared" si="0"/>
        <v>1.6339066339066339</v>
      </c>
      <c r="O27" s="16">
        <f t="shared" si="1"/>
        <v>1.6339066339066339</v>
      </c>
      <c r="P27" t="s">
        <v>115</v>
      </c>
    </row>
    <row r="28" spans="1:16" x14ac:dyDescent="0.25">
      <c r="A28" t="s">
        <v>80</v>
      </c>
      <c r="B28" t="s">
        <v>139</v>
      </c>
      <c r="C28" t="s">
        <v>86</v>
      </c>
      <c r="D28" t="s">
        <v>140</v>
      </c>
      <c r="E28">
        <v>814</v>
      </c>
      <c r="F28" s="14">
        <v>45888</v>
      </c>
      <c r="G28">
        <v>12</v>
      </c>
      <c r="H28" s="15">
        <v>1330</v>
      </c>
      <c r="I28" s="15">
        <v>1350</v>
      </c>
      <c r="J28" s="15">
        <v>0</v>
      </c>
      <c r="K28">
        <v>0</v>
      </c>
      <c r="L28" s="15">
        <v>0</v>
      </c>
      <c r="M28" s="15">
        <v>1350</v>
      </c>
      <c r="N28" s="16">
        <f t="shared" si="0"/>
        <v>1.6584766584766584</v>
      </c>
      <c r="O28" s="16">
        <f t="shared" si="1"/>
        <v>1.6584766584766584</v>
      </c>
      <c r="P28" t="s">
        <v>115</v>
      </c>
    </row>
    <row r="29" spans="1:16" x14ac:dyDescent="0.25">
      <c r="A29" t="s">
        <v>80</v>
      </c>
      <c r="B29" t="s">
        <v>141</v>
      </c>
      <c r="C29" t="s">
        <v>113</v>
      </c>
      <c r="D29" t="s">
        <v>142</v>
      </c>
      <c r="E29">
        <v>1028</v>
      </c>
      <c r="F29" s="14">
        <v>45898</v>
      </c>
      <c r="G29">
        <v>15</v>
      </c>
      <c r="H29" s="15">
        <v>1580</v>
      </c>
      <c r="I29" s="15">
        <v>1580</v>
      </c>
      <c r="J29" s="15">
        <v>0</v>
      </c>
      <c r="K29">
        <v>0</v>
      </c>
      <c r="L29" s="15">
        <v>0</v>
      </c>
      <c r="M29" s="15">
        <v>1580</v>
      </c>
      <c r="N29" s="16">
        <f t="shared" si="0"/>
        <v>1.5369649805447472</v>
      </c>
      <c r="O29" s="16">
        <f t="shared" si="1"/>
        <v>1.5369649805447472</v>
      </c>
      <c r="P29" t="s">
        <v>115</v>
      </c>
    </row>
    <row r="30" spans="1:16" x14ac:dyDescent="0.25">
      <c r="A30" t="s">
        <v>80</v>
      </c>
      <c r="B30" t="s">
        <v>143</v>
      </c>
      <c r="C30" t="s">
        <v>86</v>
      </c>
      <c r="D30" t="s">
        <v>144</v>
      </c>
      <c r="E30">
        <v>814</v>
      </c>
      <c r="F30" s="14">
        <v>45899</v>
      </c>
      <c r="G30">
        <v>12</v>
      </c>
      <c r="H30" s="15">
        <v>1329</v>
      </c>
      <c r="I30" s="15">
        <v>1329</v>
      </c>
      <c r="J30" s="15">
        <v>0</v>
      </c>
      <c r="K30">
        <v>0</v>
      </c>
      <c r="L30" s="15">
        <v>0</v>
      </c>
      <c r="M30" s="15">
        <v>1329</v>
      </c>
      <c r="N30" s="16">
        <f t="shared" si="0"/>
        <v>1.6326781326781328</v>
      </c>
      <c r="O30" s="16">
        <f t="shared" si="1"/>
        <v>1.6326781326781328</v>
      </c>
      <c r="P30" t="s">
        <v>115</v>
      </c>
    </row>
    <row r="31" spans="1:16" x14ac:dyDescent="0.25">
      <c r="A31" t="s">
        <v>80</v>
      </c>
      <c r="B31" t="s">
        <v>143</v>
      </c>
      <c r="C31" t="s">
        <v>86</v>
      </c>
      <c r="D31" t="s">
        <v>144</v>
      </c>
      <c r="E31">
        <v>814</v>
      </c>
      <c r="F31" s="14">
        <v>45899</v>
      </c>
      <c r="G31">
        <v>12</v>
      </c>
      <c r="H31" s="15">
        <v>1329</v>
      </c>
      <c r="I31" s="15">
        <v>1335</v>
      </c>
      <c r="J31" s="15">
        <v>0</v>
      </c>
      <c r="K31">
        <v>0</v>
      </c>
      <c r="L31" s="15">
        <v>0</v>
      </c>
      <c r="M31" s="15">
        <v>1335</v>
      </c>
      <c r="N31" s="16">
        <f t="shared" si="0"/>
        <v>1.6400491400491402</v>
      </c>
      <c r="O31" s="16">
        <f t="shared" si="1"/>
        <v>1.6400491400491402</v>
      </c>
      <c r="P31" t="s">
        <v>115</v>
      </c>
    </row>
    <row r="32" spans="1:16" x14ac:dyDescent="0.25">
      <c r="A32" t="s">
        <v>80</v>
      </c>
      <c r="B32" t="s">
        <v>145</v>
      </c>
      <c r="C32" t="s">
        <v>95</v>
      </c>
      <c r="D32" t="s">
        <v>146</v>
      </c>
      <c r="E32">
        <v>930</v>
      </c>
      <c r="F32" s="14">
        <v>45901</v>
      </c>
      <c r="G32">
        <v>15</v>
      </c>
      <c r="H32" s="15">
        <v>1215</v>
      </c>
      <c r="I32" s="15">
        <v>1265</v>
      </c>
      <c r="J32" s="15">
        <v>1305.81</v>
      </c>
      <c r="K32">
        <v>1.03226086956522</v>
      </c>
      <c r="L32" s="15">
        <v>1305.81</v>
      </c>
      <c r="M32" s="15">
        <v>1177.9459999999999</v>
      </c>
      <c r="N32" s="16">
        <f t="shared" si="0"/>
        <v>1.3602150537634408</v>
      </c>
      <c r="O32" s="16">
        <f t="shared" si="1"/>
        <v>1.2666086021505376</v>
      </c>
      <c r="P32" t="s">
        <v>147</v>
      </c>
    </row>
    <row r="33" spans="1:16" x14ac:dyDescent="0.25">
      <c r="A33" t="s">
        <v>80</v>
      </c>
      <c r="B33" t="s">
        <v>148</v>
      </c>
      <c r="C33" t="s">
        <v>95</v>
      </c>
      <c r="D33" t="s">
        <v>149</v>
      </c>
      <c r="E33">
        <v>930</v>
      </c>
      <c r="F33" s="14">
        <v>45901</v>
      </c>
      <c r="G33">
        <v>15</v>
      </c>
      <c r="H33" s="15">
        <v>1215</v>
      </c>
      <c r="I33" s="15">
        <v>1245</v>
      </c>
      <c r="J33" s="15">
        <v>1245</v>
      </c>
      <c r="K33">
        <v>1</v>
      </c>
      <c r="L33" s="15">
        <v>1245</v>
      </c>
      <c r="M33" s="15">
        <v>1162</v>
      </c>
      <c r="N33" s="16">
        <f t="shared" si="0"/>
        <v>1.3387096774193548</v>
      </c>
      <c r="O33" s="16">
        <f t="shared" si="1"/>
        <v>1.2494623655913979</v>
      </c>
      <c r="P33" t="s">
        <v>147</v>
      </c>
    </row>
    <row r="34" spans="1:16" x14ac:dyDescent="0.25">
      <c r="A34" t="s">
        <v>80</v>
      </c>
      <c r="B34" t="s">
        <v>150</v>
      </c>
      <c r="C34" t="s">
        <v>119</v>
      </c>
      <c r="D34" t="s">
        <v>151</v>
      </c>
      <c r="E34">
        <v>700</v>
      </c>
      <c r="F34" s="14">
        <v>45901</v>
      </c>
      <c r="G34">
        <v>12</v>
      </c>
      <c r="H34" s="15">
        <v>1370</v>
      </c>
      <c r="I34" s="15">
        <v>1370</v>
      </c>
      <c r="J34" s="15">
        <v>0</v>
      </c>
      <c r="K34">
        <v>0</v>
      </c>
      <c r="L34" s="15">
        <v>0</v>
      </c>
      <c r="M34" s="15">
        <v>1370</v>
      </c>
      <c r="N34" s="16">
        <f t="shared" ref="N34:N65" si="2">IFERROR(I34/E34,0)</f>
        <v>1.9571428571428571</v>
      </c>
      <c r="O34" s="16">
        <f t="shared" ref="O34:O65" si="3">IFERROR(M34/E34,0)</f>
        <v>1.9571428571428571</v>
      </c>
      <c r="P34" t="s">
        <v>147</v>
      </c>
    </row>
    <row r="35" spans="1:16" x14ac:dyDescent="0.25">
      <c r="A35" t="s">
        <v>80</v>
      </c>
      <c r="B35" t="s">
        <v>152</v>
      </c>
      <c r="C35" t="s">
        <v>92</v>
      </c>
      <c r="D35" t="s">
        <v>153</v>
      </c>
      <c r="E35">
        <v>657</v>
      </c>
      <c r="F35" s="14">
        <v>45901</v>
      </c>
      <c r="G35">
        <v>12</v>
      </c>
      <c r="H35" s="15">
        <v>1330</v>
      </c>
      <c r="I35" s="15">
        <v>1330</v>
      </c>
      <c r="J35" s="15">
        <v>2660</v>
      </c>
      <c r="K35">
        <v>2</v>
      </c>
      <c r="L35" s="15">
        <v>2660</v>
      </c>
      <c r="M35" s="15">
        <v>1108.3333333333301</v>
      </c>
      <c r="N35" s="16">
        <f t="shared" si="2"/>
        <v>2.0243531202435312</v>
      </c>
      <c r="O35" s="16">
        <f t="shared" si="3"/>
        <v>1.686960933536271</v>
      </c>
      <c r="P35" t="s">
        <v>147</v>
      </c>
    </row>
    <row r="36" spans="1:16" x14ac:dyDescent="0.25">
      <c r="A36" t="s">
        <v>80</v>
      </c>
      <c r="B36" t="s">
        <v>154</v>
      </c>
      <c r="C36" t="s">
        <v>86</v>
      </c>
      <c r="D36" t="s">
        <v>155</v>
      </c>
      <c r="E36">
        <v>814</v>
      </c>
      <c r="F36" s="14">
        <v>45904</v>
      </c>
      <c r="G36">
        <v>15</v>
      </c>
      <c r="H36" s="15">
        <v>1395</v>
      </c>
      <c r="I36" s="15">
        <v>1395</v>
      </c>
      <c r="J36" s="15">
        <v>1440</v>
      </c>
      <c r="K36">
        <v>1.0322580645161299</v>
      </c>
      <c r="L36" s="15">
        <v>1440</v>
      </c>
      <c r="M36" s="15">
        <v>1299</v>
      </c>
      <c r="N36" s="16">
        <f t="shared" si="2"/>
        <v>1.7137592137592137</v>
      </c>
      <c r="O36" s="16">
        <f t="shared" si="3"/>
        <v>1.5958230958230959</v>
      </c>
      <c r="P36" t="s">
        <v>147</v>
      </c>
    </row>
    <row r="37" spans="1:16" x14ac:dyDescent="0.25">
      <c r="A37" t="s">
        <v>80</v>
      </c>
      <c r="B37" t="s">
        <v>156</v>
      </c>
      <c r="C37" t="s">
        <v>92</v>
      </c>
      <c r="D37" t="s">
        <v>157</v>
      </c>
      <c r="E37">
        <v>657</v>
      </c>
      <c r="F37" s="14">
        <v>45905</v>
      </c>
      <c r="G37">
        <v>15</v>
      </c>
      <c r="H37" s="15">
        <v>1085</v>
      </c>
      <c r="I37" s="15">
        <v>1085</v>
      </c>
      <c r="J37" s="15">
        <v>1120</v>
      </c>
      <c r="K37">
        <v>1.0322580645161299</v>
      </c>
      <c r="L37" s="15">
        <v>1120</v>
      </c>
      <c r="M37" s="15">
        <v>1010.33333333333</v>
      </c>
      <c r="N37" s="16">
        <f t="shared" si="2"/>
        <v>1.6514459665144596</v>
      </c>
      <c r="O37" s="16">
        <f t="shared" si="3"/>
        <v>1.5377980720446423</v>
      </c>
      <c r="P37" t="s">
        <v>147</v>
      </c>
    </row>
    <row r="38" spans="1:16" x14ac:dyDescent="0.25">
      <c r="A38" t="s">
        <v>80</v>
      </c>
      <c r="B38" t="s">
        <v>158</v>
      </c>
      <c r="C38" t="s">
        <v>86</v>
      </c>
      <c r="D38" t="s">
        <v>159</v>
      </c>
      <c r="E38">
        <v>814</v>
      </c>
      <c r="F38" s="14">
        <v>45910</v>
      </c>
      <c r="G38">
        <v>15</v>
      </c>
      <c r="H38" s="15">
        <v>1320</v>
      </c>
      <c r="I38" s="15">
        <v>1320</v>
      </c>
      <c r="J38" s="15">
        <v>2112.58</v>
      </c>
      <c r="K38">
        <v>1.6004393939393899</v>
      </c>
      <c r="L38" s="15">
        <v>2112.58</v>
      </c>
      <c r="M38" s="15">
        <v>1179.16133333333</v>
      </c>
      <c r="N38" s="16">
        <f t="shared" si="2"/>
        <v>1.6216216216216217</v>
      </c>
      <c r="O38" s="16">
        <f t="shared" si="3"/>
        <v>1.4486011466011426</v>
      </c>
      <c r="P38" t="s">
        <v>147</v>
      </c>
    </row>
    <row r="39" spans="1:16" x14ac:dyDescent="0.25">
      <c r="A39" t="s">
        <v>80</v>
      </c>
      <c r="B39" t="s">
        <v>160</v>
      </c>
      <c r="C39" t="s">
        <v>119</v>
      </c>
      <c r="D39" t="s">
        <v>161</v>
      </c>
      <c r="E39">
        <v>700</v>
      </c>
      <c r="F39" s="14">
        <v>45914</v>
      </c>
      <c r="G39">
        <v>15</v>
      </c>
      <c r="H39" s="15">
        <v>1100</v>
      </c>
      <c r="I39" s="15">
        <v>1100</v>
      </c>
      <c r="J39" s="15">
        <v>2239.29</v>
      </c>
      <c r="K39">
        <v>2.0357181818181802</v>
      </c>
      <c r="L39" s="15">
        <v>2239.29</v>
      </c>
      <c r="M39" s="15">
        <v>950.71400000000006</v>
      </c>
      <c r="N39" s="16">
        <f t="shared" si="2"/>
        <v>1.5714285714285714</v>
      </c>
      <c r="O39" s="16">
        <f t="shared" si="3"/>
        <v>1.3581628571428572</v>
      </c>
      <c r="P39" t="s">
        <v>147</v>
      </c>
    </row>
    <row r="40" spans="1:16" x14ac:dyDescent="0.25">
      <c r="A40" t="s">
        <v>80</v>
      </c>
      <c r="B40" t="s">
        <v>162</v>
      </c>
      <c r="C40" t="s">
        <v>82</v>
      </c>
      <c r="D40" t="s">
        <v>163</v>
      </c>
      <c r="E40">
        <v>1130</v>
      </c>
      <c r="F40" s="14">
        <v>45915</v>
      </c>
      <c r="G40">
        <v>15</v>
      </c>
      <c r="H40" s="15">
        <v>1465</v>
      </c>
      <c r="I40" s="15">
        <v>1465</v>
      </c>
      <c r="J40" s="15">
        <v>1512.26</v>
      </c>
      <c r="K40">
        <v>1.03225938566553</v>
      </c>
      <c r="L40" s="15">
        <v>1512.26</v>
      </c>
      <c r="M40" s="15">
        <v>1364.18266666667</v>
      </c>
      <c r="N40" s="16">
        <f t="shared" si="2"/>
        <v>1.2964601769911503</v>
      </c>
      <c r="O40" s="16">
        <f t="shared" si="3"/>
        <v>1.2072412979351062</v>
      </c>
      <c r="P40" t="s">
        <v>147</v>
      </c>
    </row>
    <row r="41" spans="1:16" x14ac:dyDescent="0.25">
      <c r="A41" t="s">
        <v>80</v>
      </c>
      <c r="B41" t="s">
        <v>164</v>
      </c>
      <c r="C41" t="s">
        <v>95</v>
      </c>
      <c r="D41" t="s">
        <v>165</v>
      </c>
      <c r="E41">
        <v>930</v>
      </c>
      <c r="F41" s="14">
        <v>45916</v>
      </c>
      <c r="G41">
        <v>13</v>
      </c>
      <c r="H41" s="15">
        <v>1390</v>
      </c>
      <c r="I41" s="15">
        <v>1390</v>
      </c>
      <c r="J41" s="15">
        <v>1434.84</v>
      </c>
      <c r="K41">
        <v>1.0322589928057599</v>
      </c>
      <c r="L41" s="15">
        <v>1434.84</v>
      </c>
      <c r="M41" s="15">
        <v>1279.62769230769</v>
      </c>
      <c r="N41" s="16">
        <f t="shared" si="2"/>
        <v>1.4946236559139785</v>
      </c>
      <c r="O41" s="16">
        <f t="shared" si="3"/>
        <v>1.3759437551695592</v>
      </c>
      <c r="P41" t="s">
        <v>147</v>
      </c>
    </row>
    <row r="42" spans="1:16" x14ac:dyDescent="0.25">
      <c r="A42" t="s">
        <v>80</v>
      </c>
      <c r="B42" t="s">
        <v>166</v>
      </c>
      <c r="C42" t="s">
        <v>119</v>
      </c>
      <c r="D42" t="s">
        <v>167</v>
      </c>
      <c r="E42">
        <v>700</v>
      </c>
      <c r="F42" s="14">
        <v>45920</v>
      </c>
      <c r="G42">
        <v>15</v>
      </c>
      <c r="H42" s="15">
        <v>1175</v>
      </c>
      <c r="I42" s="15">
        <v>1175</v>
      </c>
      <c r="J42" s="15">
        <v>1212.9000000000001</v>
      </c>
      <c r="K42">
        <v>1.0322553191489401</v>
      </c>
      <c r="L42" s="15">
        <v>1212.9000000000001</v>
      </c>
      <c r="M42" s="15">
        <v>1094.1400000000001</v>
      </c>
      <c r="N42" s="16">
        <f t="shared" si="2"/>
        <v>1.6785714285714286</v>
      </c>
      <c r="O42" s="16">
        <f t="shared" si="3"/>
        <v>1.5630571428571429</v>
      </c>
      <c r="P42" t="s">
        <v>147</v>
      </c>
    </row>
    <row r="43" spans="1:16" x14ac:dyDescent="0.25">
      <c r="A43" t="s">
        <v>80</v>
      </c>
      <c r="B43" t="s">
        <v>168</v>
      </c>
      <c r="C43" t="s">
        <v>95</v>
      </c>
      <c r="D43" t="s">
        <v>169</v>
      </c>
      <c r="E43">
        <v>930</v>
      </c>
      <c r="F43" s="14">
        <v>45923</v>
      </c>
      <c r="G43">
        <v>13</v>
      </c>
      <c r="H43" s="15">
        <v>1220</v>
      </c>
      <c r="I43" s="15">
        <v>1220</v>
      </c>
      <c r="J43" s="15">
        <v>1220</v>
      </c>
      <c r="K43">
        <v>1</v>
      </c>
      <c r="L43" s="15">
        <v>1220</v>
      </c>
      <c r="M43" s="15">
        <v>1126.1538461538501</v>
      </c>
      <c r="N43" s="16">
        <f t="shared" si="2"/>
        <v>1.3118279569892473</v>
      </c>
      <c r="O43" s="16">
        <f t="shared" si="3"/>
        <v>1.2109181141439247</v>
      </c>
      <c r="P43" t="s">
        <v>147</v>
      </c>
    </row>
    <row r="44" spans="1:16" x14ac:dyDescent="0.25">
      <c r="A44" t="s">
        <v>80</v>
      </c>
      <c r="B44" t="s">
        <v>170</v>
      </c>
      <c r="C44" t="s">
        <v>95</v>
      </c>
      <c r="D44" t="s">
        <v>171</v>
      </c>
      <c r="E44">
        <v>930</v>
      </c>
      <c r="F44" s="14">
        <v>45925</v>
      </c>
      <c r="G44">
        <v>13</v>
      </c>
      <c r="H44" s="15">
        <v>1275</v>
      </c>
      <c r="I44" s="15">
        <v>1275</v>
      </c>
      <c r="J44" s="15">
        <v>1275</v>
      </c>
      <c r="K44">
        <v>1</v>
      </c>
      <c r="L44" s="15">
        <v>1275</v>
      </c>
      <c r="M44" s="15">
        <v>1176.9230769230801</v>
      </c>
      <c r="N44" s="16">
        <f t="shared" si="2"/>
        <v>1.3709677419354838</v>
      </c>
      <c r="O44" s="16">
        <f t="shared" si="3"/>
        <v>1.2655086848635271</v>
      </c>
      <c r="P44" t="s">
        <v>147</v>
      </c>
    </row>
    <row r="45" spans="1:16" x14ac:dyDescent="0.25">
      <c r="A45" t="s">
        <v>80</v>
      </c>
      <c r="B45" t="s">
        <v>172</v>
      </c>
      <c r="C45" t="s">
        <v>119</v>
      </c>
      <c r="D45" t="s">
        <v>173</v>
      </c>
      <c r="E45">
        <v>700</v>
      </c>
      <c r="F45" s="14">
        <v>45925</v>
      </c>
      <c r="G45">
        <v>13</v>
      </c>
      <c r="H45" s="15">
        <v>1205</v>
      </c>
      <c r="I45" s="15">
        <v>1195</v>
      </c>
      <c r="J45" s="15">
        <v>0</v>
      </c>
      <c r="K45">
        <v>0</v>
      </c>
      <c r="L45" s="15">
        <v>0</v>
      </c>
      <c r="M45" s="15">
        <v>1195</v>
      </c>
      <c r="N45" s="16">
        <f t="shared" si="2"/>
        <v>1.7071428571428571</v>
      </c>
      <c r="O45" s="16">
        <f t="shared" si="3"/>
        <v>1.7071428571428571</v>
      </c>
      <c r="P45" t="s">
        <v>147</v>
      </c>
    </row>
    <row r="46" spans="1:16" x14ac:dyDescent="0.25">
      <c r="A46" t="s">
        <v>80</v>
      </c>
      <c r="B46" t="s">
        <v>174</v>
      </c>
      <c r="C46" t="s">
        <v>113</v>
      </c>
      <c r="D46" t="s">
        <v>175</v>
      </c>
      <c r="E46">
        <v>1028</v>
      </c>
      <c r="F46" s="14">
        <v>45926</v>
      </c>
      <c r="G46">
        <v>13</v>
      </c>
      <c r="H46" s="15">
        <v>1510</v>
      </c>
      <c r="I46" s="15">
        <v>1510</v>
      </c>
      <c r="J46" s="15">
        <v>1560.33</v>
      </c>
      <c r="K46">
        <v>1.0333311258278199</v>
      </c>
      <c r="L46" s="15">
        <v>1560.33</v>
      </c>
      <c r="M46" s="15">
        <v>1389.9746153846199</v>
      </c>
      <c r="N46" s="16">
        <f t="shared" si="2"/>
        <v>1.4688715953307394</v>
      </c>
      <c r="O46" s="16">
        <f t="shared" si="3"/>
        <v>1.352115384615389</v>
      </c>
      <c r="P46" t="s">
        <v>147</v>
      </c>
    </row>
    <row r="47" spans="1:16" x14ac:dyDescent="0.25">
      <c r="A47" t="s">
        <v>80</v>
      </c>
      <c r="B47" t="s">
        <v>176</v>
      </c>
      <c r="C47" t="s">
        <v>95</v>
      </c>
      <c r="D47" t="s">
        <v>177</v>
      </c>
      <c r="E47">
        <v>930</v>
      </c>
      <c r="F47" s="14">
        <v>45931</v>
      </c>
      <c r="G47">
        <v>13</v>
      </c>
      <c r="H47" s="15">
        <v>1575</v>
      </c>
      <c r="I47" s="15">
        <v>1245</v>
      </c>
      <c r="J47" s="15">
        <v>1245</v>
      </c>
      <c r="K47">
        <v>1</v>
      </c>
      <c r="L47" s="15">
        <v>1245</v>
      </c>
      <c r="M47" s="15">
        <v>1149.23076923077</v>
      </c>
      <c r="N47" s="16">
        <f t="shared" si="2"/>
        <v>1.3387096774193548</v>
      </c>
      <c r="O47" s="16">
        <f t="shared" si="3"/>
        <v>1.2357320099255591</v>
      </c>
      <c r="P47" t="s">
        <v>178</v>
      </c>
    </row>
    <row r="48" spans="1:16" x14ac:dyDescent="0.25">
      <c r="A48" t="s">
        <v>80</v>
      </c>
      <c r="B48" t="s">
        <v>179</v>
      </c>
      <c r="C48" t="s">
        <v>95</v>
      </c>
      <c r="D48" t="s">
        <v>180</v>
      </c>
      <c r="E48">
        <v>930</v>
      </c>
      <c r="F48" s="14">
        <v>45931</v>
      </c>
      <c r="G48">
        <v>12</v>
      </c>
      <c r="H48" s="15">
        <v>1550</v>
      </c>
      <c r="I48" s="15">
        <v>1290</v>
      </c>
      <c r="J48" s="15">
        <v>0</v>
      </c>
      <c r="K48">
        <v>0</v>
      </c>
      <c r="L48" s="15">
        <v>0</v>
      </c>
      <c r="M48" s="15">
        <v>1290</v>
      </c>
      <c r="N48" s="16">
        <f t="shared" si="2"/>
        <v>1.3870967741935485</v>
      </c>
      <c r="O48" s="16">
        <f t="shared" si="3"/>
        <v>1.3870967741935485</v>
      </c>
      <c r="P48" t="s">
        <v>178</v>
      </c>
    </row>
    <row r="49" spans="1:16" x14ac:dyDescent="0.25">
      <c r="A49" t="s">
        <v>80</v>
      </c>
      <c r="B49" t="s">
        <v>181</v>
      </c>
      <c r="C49" t="s">
        <v>182</v>
      </c>
      <c r="D49" t="s">
        <v>183</v>
      </c>
      <c r="E49">
        <v>875</v>
      </c>
      <c r="F49" s="14">
        <v>45931</v>
      </c>
      <c r="G49">
        <v>13</v>
      </c>
      <c r="H49" s="15">
        <v>1550</v>
      </c>
      <c r="I49" s="15">
        <v>1290</v>
      </c>
      <c r="J49" s="15">
        <v>1290</v>
      </c>
      <c r="K49">
        <v>1</v>
      </c>
      <c r="L49" s="15">
        <v>1290</v>
      </c>
      <c r="M49" s="15">
        <v>1190.76923076923</v>
      </c>
      <c r="N49" s="16">
        <f t="shared" si="2"/>
        <v>1.4742857142857142</v>
      </c>
      <c r="O49" s="16">
        <f t="shared" si="3"/>
        <v>1.36087912087912</v>
      </c>
      <c r="P49" t="s">
        <v>178</v>
      </c>
    </row>
    <row r="50" spans="1:16" x14ac:dyDescent="0.25">
      <c r="A50" t="s">
        <v>80</v>
      </c>
      <c r="B50" t="s">
        <v>184</v>
      </c>
      <c r="C50" t="s">
        <v>113</v>
      </c>
      <c r="D50" t="s">
        <v>185</v>
      </c>
      <c r="E50">
        <v>1028</v>
      </c>
      <c r="F50" s="14">
        <v>45933</v>
      </c>
      <c r="G50">
        <v>15</v>
      </c>
      <c r="H50" s="15">
        <v>1835</v>
      </c>
      <c r="I50" s="15">
        <v>1535</v>
      </c>
      <c r="J50" s="15">
        <v>1535</v>
      </c>
      <c r="K50">
        <v>1</v>
      </c>
      <c r="L50" s="15">
        <v>1535</v>
      </c>
      <c r="M50" s="15">
        <v>1432.6666666666699</v>
      </c>
      <c r="N50" s="16">
        <f t="shared" si="2"/>
        <v>1.4931906614785992</v>
      </c>
      <c r="O50" s="16">
        <f t="shared" si="3"/>
        <v>1.3936446173800292</v>
      </c>
      <c r="P50" t="s">
        <v>178</v>
      </c>
    </row>
    <row r="51" spans="1:16" x14ac:dyDescent="0.25">
      <c r="A51" t="s">
        <v>80</v>
      </c>
      <c r="B51" t="s">
        <v>186</v>
      </c>
      <c r="C51" t="s">
        <v>82</v>
      </c>
      <c r="D51" t="s">
        <v>187</v>
      </c>
      <c r="E51">
        <v>1130</v>
      </c>
      <c r="F51" s="14">
        <v>45940</v>
      </c>
      <c r="G51">
        <v>12</v>
      </c>
      <c r="H51" s="15">
        <v>1785</v>
      </c>
      <c r="I51" s="15">
        <v>1515</v>
      </c>
      <c r="J51" s="15">
        <v>0</v>
      </c>
      <c r="K51">
        <v>0</v>
      </c>
      <c r="L51" s="15">
        <v>0</v>
      </c>
      <c r="M51" s="15">
        <v>1515</v>
      </c>
      <c r="N51" s="16">
        <f t="shared" si="2"/>
        <v>1.3407079646017699</v>
      </c>
      <c r="O51" s="16">
        <f t="shared" si="3"/>
        <v>1.3407079646017699</v>
      </c>
      <c r="P51" t="s">
        <v>178</v>
      </c>
    </row>
    <row r="52" spans="1:16" x14ac:dyDescent="0.25">
      <c r="A52" t="s">
        <v>80</v>
      </c>
      <c r="B52" t="s">
        <v>188</v>
      </c>
      <c r="C52" t="s">
        <v>182</v>
      </c>
      <c r="D52" t="s">
        <v>189</v>
      </c>
      <c r="E52">
        <v>875</v>
      </c>
      <c r="F52" s="14">
        <v>45947</v>
      </c>
      <c r="G52">
        <v>13</v>
      </c>
      <c r="H52" s="15">
        <v>1540</v>
      </c>
      <c r="I52" s="15">
        <v>1330</v>
      </c>
      <c r="J52" s="15">
        <v>0</v>
      </c>
      <c r="K52">
        <v>0</v>
      </c>
      <c r="L52" s="15">
        <v>0</v>
      </c>
      <c r="M52" s="15">
        <v>1330</v>
      </c>
      <c r="N52" s="16">
        <f t="shared" si="2"/>
        <v>1.52</v>
      </c>
      <c r="O52" s="16">
        <f t="shared" si="3"/>
        <v>1.52</v>
      </c>
      <c r="P52" t="s">
        <v>178</v>
      </c>
    </row>
    <row r="53" spans="1:16" x14ac:dyDescent="0.25">
      <c r="A53" t="s">
        <v>80</v>
      </c>
      <c r="B53" t="s">
        <v>190</v>
      </c>
      <c r="C53" t="s">
        <v>86</v>
      </c>
      <c r="D53" t="s">
        <v>191</v>
      </c>
      <c r="E53">
        <v>814</v>
      </c>
      <c r="F53" s="14">
        <v>45947</v>
      </c>
      <c r="G53">
        <v>13</v>
      </c>
      <c r="H53" s="15">
        <v>1520</v>
      </c>
      <c r="I53" s="15">
        <v>1290</v>
      </c>
      <c r="J53" s="15">
        <v>2040</v>
      </c>
      <c r="K53">
        <v>1.5813953488372099</v>
      </c>
      <c r="L53" s="15">
        <v>2040</v>
      </c>
      <c r="M53" s="15">
        <v>1133.0769230769199</v>
      </c>
      <c r="N53" s="16">
        <f t="shared" si="2"/>
        <v>1.5847665847665848</v>
      </c>
      <c r="O53" s="16">
        <f t="shared" si="3"/>
        <v>1.3919863919863882</v>
      </c>
      <c r="P53" t="s">
        <v>178</v>
      </c>
    </row>
    <row r="54" spans="1:16" x14ac:dyDescent="0.25">
      <c r="A54" t="s">
        <v>80</v>
      </c>
      <c r="B54" t="s">
        <v>192</v>
      </c>
      <c r="C54" t="s">
        <v>193</v>
      </c>
      <c r="D54" t="s">
        <v>194</v>
      </c>
      <c r="E54">
        <v>980</v>
      </c>
      <c r="F54" s="14">
        <v>45954</v>
      </c>
      <c r="G54">
        <v>13</v>
      </c>
      <c r="H54" s="15">
        <v>1625</v>
      </c>
      <c r="I54" s="15">
        <v>1570</v>
      </c>
      <c r="J54" s="15">
        <v>0</v>
      </c>
      <c r="K54">
        <v>0</v>
      </c>
      <c r="L54" s="15">
        <v>0</v>
      </c>
      <c r="M54" s="15">
        <v>1570</v>
      </c>
      <c r="N54" s="16">
        <f t="shared" si="2"/>
        <v>1.6020408163265305</v>
      </c>
      <c r="O54" s="16">
        <f t="shared" si="3"/>
        <v>1.6020408163265305</v>
      </c>
      <c r="P54" t="s">
        <v>178</v>
      </c>
    </row>
    <row r="55" spans="1:16" x14ac:dyDescent="0.25">
      <c r="A55" t="s">
        <v>80</v>
      </c>
      <c r="B55" t="s">
        <v>195</v>
      </c>
      <c r="C55" t="s">
        <v>182</v>
      </c>
      <c r="D55" t="s">
        <v>196</v>
      </c>
      <c r="E55">
        <v>875</v>
      </c>
      <c r="F55" s="14">
        <v>45959</v>
      </c>
      <c r="G55">
        <v>12</v>
      </c>
      <c r="H55" s="15">
        <v>1580</v>
      </c>
      <c r="I55" s="15">
        <v>1310</v>
      </c>
      <c r="J55" s="15">
        <v>9170</v>
      </c>
      <c r="K55">
        <v>7</v>
      </c>
      <c r="L55" s="15">
        <v>9170</v>
      </c>
      <c r="M55" s="15">
        <v>545.83333333333303</v>
      </c>
      <c r="N55" s="16">
        <f t="shared" si="2"/>
        <v>1.4971428571428571</v>
      </c>
      <c r="O55" s="16">
        <f t="shared" si="3"/>
        <v>0.62380952380952348</v>
      </c>
      <c r="P55" t="s">
        <v>178</v>
      </c>
    </row>
    <row r="56" spans="1:16" x14ac:dyDescent="0.25">
      <c r="A56" t="s">
        <v>80</v>
      </c>
      <c r="B56" t="s">
        <v>94</v>
      </c>
      <c r="C56" t="s">
        <v>193</v>
      </c>
      <c r="D56" t="s">
        <v>197</v>
      </c>
      <c r="E56">
        <v>980</v>
      </c>
      <c r="F56" s="14">
        <v>45961</v>
      </c>
      <c r="G56">
        <v>13</v>
      </c>
      <c r="H56" s="15">
        <v>1740</v>
      </c>
      <c r="I56" s="15">
        <v>1500</v>
      </c>
      <c r="J56" s="15">
        <v>0</v>
      </c>
      <c r="K56">
        <v>0</v>
      </c>
      <c r="L56" s="15">
        <v>0</v>
      </c>
      <c r="M56" s="15">
        <v>1500</v>
      </c>
      <c r="N56" s="16">
        <f t="shared" si="2"/>
        <v>1.5306122448979591</v>
      </c>
      <c r="O56" s="16">
        <f t="shared" si="3"/>
        <v>1.5306122448979591</v>
      </c>
      <c r="P56" t="s">
        <v>178</v>
      </c>
    </row>
    <row r="57" spans="1:16" x14ac:dyDescent="0.25">
      <c r="A57" t="s">
        <v>80</v>
      </c>
      <c r="B57" t="s">
        <v>198</v>
      </c>
      <c r="C57" t="s">
        <v>86</v>
      </c>
      <c r="D57" t="s">
        <v>199</v>
      </c>
      <c r="E57">
        <v>814</v>
      </c>
      <c r="F57" s="14">
        <v>45961</v>
      </c>
      <c r="G57">
        <v>12</v>
      </c>
      <c r="H57" s="15">
        <v>1365</v>
      </c>
      <c r="I57" s="15">
        <v>1365</v>
      </c>
      <c r="J57" s="15">
        <v>1365</v>
      </c>
      <c r="K57">
        <v>1</v>
      </c>
      <c r="L57" s="15">
        <v>1365</v>
      </c>
      <c r="M57" s="15">
        <v>1251.25</v>
      </c>
      <c r="N57" s="16">
        <f t="shared" si="2"/>
        <v>1.6769041769041768</v>
      </c>
      <c r="O57" s="16">
        <f t="shared" si="3"/>
        <v>1.5371621621621621</v>
      </c>
      <c r="P57" t="s">
        <v>178</v>
      </c>
    </row>
    <row r="58" spans="1:16" x14ac:dyDescent="0.25">
      <c r="A58" t="s">
        <v>80</v>
      </c>
      <c r="B58" t="s">
        <v>200</v>
      </c>
      <c r="C58" t="s">
        <v>98</v>
      </c>
      <c r="D58" t="s">
        <v>201</v>
      </c>
      <c r="E58">
        <v>550</v>
      </c>
      <c r="F58" s="14">
        <v>45962</v>
      </c>
      <c r="G58">
        <v>12</v>
      </c>
      <c r="H58" s="15">
        <v>1045</v>
      </c>
      <c r="I58" s="15">
        <v>1045</v>
      </c>
      <c r="J58" s="15">
        <v>1045</v>
      </c>
      <c r="K58">
        <v>1</v>
      </c>
      <c r="L58" s="15">
        <v>1045</v>
      </c>
      <c r="M58" s="15">
        <v>957.91666666666697</v>
      </c>
      <c r="N58" s="16">
        <f t="shared" si="2"/>
        <v>1.9</v>
      </c>
      <c r="O58" s="16">
        <f t="shared" si="3"/>
        <v>1.7416666666666671</v>
      </c>
      <c r="P58" t="s">
        <v>202</v>
      </c>
    </row>
    <row r="59" spans="1:16" x14ac:dyDescent="0.25">
      <c r="A59" t="s">
        <v>80</v>
      </c>
      <c r="B59" t="s">
        <v>203</v>
      </c>
      <c r="C59" t="s">
        <v>119</v>
      </c>
      <c r="D59" t="s">
        <v>204</v>
      </c>
      <c r="E59">
        <v>700</v>
      </c>
      <c r="F59" s="14">
        <v>45962</v>
      </c>
      <c r="G59">
        <v>13</v>
      </c>
      <c r="H59" s="15">
        <v>1480</v>
      </c>
      <c r="I59" s="15">
        <v>1305</v>
      </c>
      <c r="J59" s="15">
        <v>1348.5</v>
      </c>
      <c r="K59">
        <v>1.0333333333333301</v>
      </c>
      <c r="L59" s="15">
        <v>1348.5</v>
      </c>
      <c r="M59" s="15">
        <v>1201.26923076923</v>
      </c>
      <c r="N59" s="16">
        <f t="shared" si="2"/>
        <v>1.8642857142857143</v>
      </c>
      <c r="O59" s="16">
        <f t="shared" si="3"/>
        <v>1.7160989010989001</v>
      </c>
      <c r="P59" t="s">
        <v>202</v>
      </c>
    </row>
    <row r="60" spans="1:16" x14ac:dyDescent="0.25">
      <c r="A60" t="s">
        <v>80</v>
      </c>
      <c r="B60" t="s">
        <v>205</v>
      </c>
      <c r="C60" t="s">
        <v>92</v>
      </c>
      <c r="D60" t="s">
        <v>206</v>
      </c>
      <c r="E60">
        <v>657</v>
      </c>
      <c r="F60" s="14">
        <v>45975</v>
      </c>
      <c r="G60">
        <v>13</v>
      </c>
      <c r="H60" s="15">
        <v>1364</v>
      </c>
      <c r="I60" s="15">
        <v>1021</v>
      </c>
      <c r="J60" s="15">
        <v>1547</v>
      </c>
      <c r="K60">
        <v>1.51518119490695</v>
      </c>
      <c r="L60" s="15">
        <v>1547</v>
      </c>
      <c r="M60" s="15">
        <v>902</v>
      </c>
      <c r="N60" s="16">
        <f t="shared" si="2"/>
        <v>1.5540334855403348</v>
      </c>
      <c r="O60" s="16">
        <f t="shared" si="3"/>
        <v>1.3729071537290716</v>
      </c>
      <c r="P60" t="s">
        <v>202</v>
      </c>
    </row>
    <row r="61" spans="1:16" x14ac:dyDescent="0.25">
      <c r="A61" t="s">
        <v>80</v>
      </c>
      <c r="B61" t="s">
        <v>207</v>
      </c>
      <c r="C61" t="s">
        <v>86</v>
      </c>
      <c r="D61" t="s">
        <v>208</v>
      </c>
      <c r="E61">
        <v>814</v>
      </c>
      <c r="F61" s="14">
        <v>45981</v>
      </c>
      <c r="G61">
        <v>12</v>
      </c>
      <c r="H61" s="15">
        <v>1420</v>
      </c>
      <c r="I61" s="15">
        <v>1295</v>
      </c>
      <c r="J61" s="15">
        <v>1341.25</v>
      </c>
      <c r="K61">
        <v>1.03571428571429</v>
      </c>
      <c r="L61" s="15">
        <v>1341.25</v>
      </c>
      <c r="M61" s="15">
        <v>1183.2291666666699</v>
      </c>
      <c r="N61" s="16">
        <f t="shared" si="2"/>
        <v>1.5909090909090908</v>
      </c>
      <c r="O61" s="16">
        <f t="shared" si="3"/>
        <v>1.4535984848484889</v>
      </c>
      <c r="P61" t="s">
        <v>202</v>
      </c>
    </row>
    <row r="62" spans="1:16" x14ac:dyDescent="0.25">
      <c r="A62" t="s">
        <v>80</v>
      </c>
      <c r="B62" t="s">
        <v>209</v>
      </c>
      <c r="C62" t="s">
        <v>182</v>
      </c>
      <c r="D62" t="s">
        <v>210</v>
      </c>
      <c r="E62">
        <v>875</v>
      </c>
      <c r="F62" s="14">
        <v>45981</v>
      </c>
      <c r="G62">
        <v>12</v>
      </c>
      <c r="H62" s="15">
        <v>1058</v>
      </c>
      <c r="I62" s="15">
        <v>1058</v>
      </c>
      <c r="J62" s="15">
        <v>2125</v>
      </c>
      <c r="K62">
        <v>2.0085066162570899</v>
      </c>
      <c r="L62" s="15">
        <v>2125</v>
      </c>
      <c r="M62" s="15">
        <v>880.91666666666697</v>
      </c>
      <c r="N62" s="16">
        <f t="shared" si="2"/>
        <v>1.2091428571428571</v>
      </c>
      <c r="O62" s="16">
        <f t="shared" si="3"/>
        <v>1.0067619047619052</v>
      </c>
      <c r="P62" t="s">
        <v>202</v>
      </c>
    </row>
    <row r="63" spans="1:16" x14ac:dyDescent="0.25">
      <c r="A63" t="s">
        <v>80</v>
      </c>
      <c r="B63" t="s">
        <v>211</v>
      </c>
      <c r="C63" t="s">
        <v>113</v>
      </c>
      <c r="D63" t="s">
        <v>212</v>
      </c>
      <c r="E63">
        <v>1028</v>
      </c>
      <c r="F63" s="14">
        <v>45982</v>
      </c>
      <c r="G63">
        <v>13</v>
      </c>
      <c r="H63" s="15">
        <v>1720</v>
      </c>
      <c r="I63" s="15">
        <v>1460</v>
      </c>
      <c r="J63" s="15">
        <v>3000</v>
      </c>
      <c r="K63">
        <v>2.0547945205479499</v>
      </c>
      <c r="L63" s="15">
        <v>3000</v>
      </c>
      <c r="M63" s="15">
        <v>1229.23076923077</v>
      </c>
      <c r="N63" s="16">
        <f t="shared" si="2"/>
        <v>1.4202334630350195</v>
      </c>
      <c r="O63" s="16">
        <f t="shared" si="3"/>
        <v>1.1957497755163131</v>
      </c>
      <c r="P63" t="s">
        <v>202</v>
      </c>
    </row>
    <row r="64" spans="1:16" x14ac:dyDescent="0.25">
      <c r="A64" t="s">
        <v>80</v>
      </c>
      <c r="B64" t="s">
        <v>213</v>
      </c>
      <c r="C64" t="s">
        <v>82</v>
      </c>
      <c r="D64" t="s">
        <v>214</v>
      </c>
      <c r="E64">
        <v>1130</v>
      </c>
      <c r="F64" s="14">
        <v>45982</v>
      </c>
      <c r="G64">
        <v>12</v>
      </c>
      <c r="H64" s="15">
        <v>1635</v>
      </c>
      <c r="I64" s="15">
        <v>1145</v>
      </c>
      <c r="J64" s="15">
        <v>0</v>
      </c>
      <c r="K64">
        <v>0</v>
      </c>
      <c r="L64" s="15">
        <v>0</v>
      </c>
      <c r="M64" s="15">
        <v>1145</v>
      </c>
      <c r="N64" s="16">
        <f t="shared" si="2"/>
        <v>1.0132743362831858</v>
      </c>
      <c r="O64" s="16">
        <f t="shared" si="3"/>
        <v>1.0132743362831858</v>
      </c>
      <c r="P64" t="s">
        <v>202</v>
      </c>
    </row>
    <row r="65" spans="1:16" x14ac:dyDescent="0.25">
      <c r="A65" t="s">
        <v>80</v>
      </c>
      <c r="B65" t="s">
        <v>215</v>
      </c>
      <c r="C65" t="s">
        <v>89</v>
      </c>
      <c r="D65" t="s">
        <v>216</v>
      </c>
      <c r="E65">
        <v>500</v>
      </c>
      <c r="F65" s="14">
        <v>45990</v>
      </c>
      <c r="G65">
        <v>13</v>
      </c>
      <c r="H65" s="15">
        <v>832</v>
      </c>
      <c r="I65" s="15">
        <v>832</v>
      </c>
      <c r="J65" s="15">
        <v>860.28</v>
      </c>
      <c r="K65">
        <v>1.0339903846153899</v>
      </c>
      <c r="L65" s="15">
        <v>860.28</v>
      </c>
      <c r="M65" s="15">
        <v>765.82461538461496</v>
      </c>
      <c r="N65" s="16">
        <f t="shared" si="2"/>
        <v>1.6639999999999999</v>
      </c>
      <c r="O65" s="16">
        <f t="shared" si="3"/>
        <v>1.53164923076923</v>
      </c>
      <c r="P65" t="s">
        <v>202</v>
      </c>
    </row>
    <row r="66" spans="1:16" x14ac:dyDescent="0.25">
      <c r="A66" t="s">
        <v>80</v>
      </c>
      <c r="B66" t="s">
        <v>217</v>
      </c>
      <c r="C66" t="s">
        <v>193</v>
      </c>
      <c r="D66" t="s">
        <v>218</v>
      </c>
      <c r="E66">
        <v>980</v>
      </c>
      <c r="F66" s="14">
        <v>45992</v>
      </c>
      <c r="G66">
        <v>12</v>
      </c>
      <c r="H66" s="15">
        <v>1075</v>
      </c>
      <c r="I66" s="15">
        <v>1075</v>
      </c>
      <c r="J66" s="15">
        <v>19.2</v>
      </c>
      <c r="K66">
        <v>1.78604651162791E-2</v>
      </c>
      <c r="L66" s="15">
        <v>19.2</v>
      </c>
      <c r="M66" s="15">
        <v>1073.4000000000001</v>
      </c>
      <c r="N66" s="16">
        <f t="shared" ref="N66:N97" si="4">IFERROR(I66/E66,0)</f>
        <v>1.096938775510204</v>
      </c>
      <c r="O66" s="16">
        <f t="shared" ref="O66:O97" si="5">IFERROR(M66/E66,0)</f>
        <v>1.0953061224489797</v>
      </c>
      <c r="P66" t="s">
        <v>219</v>
      </c>
    </row>
    <row r="67" spans="1:16" x14ac:dyDescent="0.25">
      <c r="A67" t="s">
        <v>80</v>
      </c>
      <c r="B67" t="s">
        <v>220</v>
      </c>
      <c r="C67" t="s">
        <v>119</v>
      </c>
      <c r="D67" t="s">
        <v>221</v>
      </c>
      <c r="E67">
        <v>700</v>
      </c>
      <c r="F67" s="14">
        <v>45992</v>
      </c>
      <c r="G67">
        <v>13</v>
      </c>
      <c r="H67" s="15">
        <v>1420</v>
      </c>
      <c r="I67" s="15">
        <v>1005</v>
      </c>
      <c r="J67" s="15">
        <v>2108.5</v>
      </c>
      <c r="K67">
        <v>2.0980099502487599</v>
      </c>
      <c r="L67" s="15">
        <v>2108.5</v>
      </c>
      <c r="M67" s="15">
        <v>842.80769230769204</v>
      </c>
      <c r="N67" s="16">
        <f t="shared" si="4"/>
        <v>1.4357142857142857</v>
      </c>
      <c r="O67" s="16">
        <f t="shared" si="5"/>
        <v>1.2040109890109887</v>
      </c>
      <c r="P67" t="s">
        <v>219</v>
      </c>
    </row>
    <row r="68" spans="1:16" x14ac:dyDescent="0.25">
      <c r="A68" t="s">
        <v>80</v>
      </c>
      <c r="B68" t="s">
        <v>222</v>
      </c>
      <c r="C68" t="s">
        <v>95</v>
      </c>
      <c r="D68" t="s">
        <v>223</v>
      </c>
      <c r="E68">
        <v>930</v>
      </c>
      <c r="F68" s="14">
        <v>46007</v>
      </c>
      <c r="G68">
        <v>12</v>
      </c>
      <c r="H68" s="15">
        <v>970</v>
      </c>
      <c r="I68" s="15">
        <v>1155</v>
      </c>
      <c r="J68" s="15">
        <v>1155</v>
      </c>
      <c r="K68">
        <v>1</v>
      </c>
      <c r="L68" s="15">
        <v>1155</v>
      </c>
      <c r="M68" s="15">
        <v>1058.75</v>
      </c>
      <c r="N68" s="16">
        <f t="shared" si="4"/>
        <v>1.2419354838709677</v>
      </c>
      <c r="O68" s="16">
        <f t="shared" si="5"/>
        <v>1.1384408602150538</v>
      </c>
      <c r="P68" t="s">
        <v>219</v>
      </c>
    </row>
    <row r="69" spans="1:16" x14ac:dyDescent="0.25">
      <c r="A69" t="s">
        <v>80</v>
      </c>
      <c r="B69" t="s">
        <v>224</v>
      </c>
      <c r="C69" t="s">
        <v>95</v>
      </c>
      <c r="D69" t="s">
        <v>225</v>
      </c>
      <c r="E69">
        <v>930</v>
      </c>
      <c r="F69" s="14">
        <v>46011</v>
      </c>
      <c r="G69">
        <v>12</v>
      </c>
      <c r="H69" s="15">
        <v>719</v>
      </c>
      <c r="I69" s="15">
        <v>1004</v>
      </c>
      <c r="J69" s="15">
        <v>1506</v>
      </c>
      <c r="K69">
        <v>1.5</v>
      </c>
      <c r="L69" s="15">
        <v>1506</v>
      </c>
      <c r="M69" s="15">
        <v>878.5</v>
      </c>
      <c r="N69" s="16">
        <f t="shared" si="4"/>
        <v>1.0795698924731183</v>
      </c>
      <c r="O69" s="16">
        <f t="shared" si="5"/>
        <v>0.94462365591397845</v>
      </c>
      <c r="P69" t="s">
        <v>219</v>
      </c>
    </row>
    <row r="70" spans="1:16" x14ac:dyDescent="0.25">
      <c r="A70" t="s">
        <v>80</v>
      </c>
      <c r="B70" t="s">
        <v>226</v>
      </c>
      <c r="C70" t="s">
        <v>95</v>
      </c>
      <c r="D70" t="s">
        <v>227</v>
      </c>
      <c r="E70">
        <v>930</v>
      </c>
      <c r="F70" s="14">
        <v>46011</v>
      </c>
      <c r="G70">
        <v>12</v>
      </c>
      <c r="H70" s="15">
        <v>955</v>
      </c>
      <c r="I70" s="15">
        <v>1140</v>
      </c>
      <c r="J70" s="15">
        <v>1728.39</v>
      </c>
      <c r="K70">
        <v>1.5161315789473699</v>
      </c>
      <c r="L70" s="15">
        <v>1728.39</v>
      </c>
      <c r="M70" s="15">
        <v>995.96749999999997</v>
      </c>
      <c r="N70" s="16">
        <f t="shared" si="4"/>
        <v>1.2258064516129032</v>
      </c>
      <c r="O70" s="16">
        <f t="shared" si="5"/>
        <v>1.0709327956989247</v>
      </c>
      <c r="P70" t="s">
        <v>219</v>
      </c>
    </row>
    <row r="71" spans="1:16" x14ac:dyDescent="0.25">
      <c r="A71" t="s">
        <v>80</v>
      </c>
      <c r="B71" t="s">
        <v>228</v>
      </c>
      <c r="C71" t="s">
        <v>92</v>
      </c>
      <c r="D71" t="s">
        <v>229</v>
      </c>
      <c r="E71">
        <v>657</v>
      </c>
      <c r="F71" s="14">
        <v>46011</v>
      </c>
      <c r="G71">
        <v>13</v>
      </c>
      <c r="H71" s="15">
        <v>705</v>
      </c>
      <c r="I71" s="15">
        <v>990</v>
      </c>
      <c r="J71" s="15">
        <v>1504</v>
      </c>
      <c r="K71">
        <v>1.5191919191919201</v>
      </c>
      <c r="L71" s="15">
        <v>1504</v>
      </c>
      <c r="M71" s="15">
        <v>874.30769230769204</v>
      </c>
      <c r="N71" s="16">
        <f t="shared" si="4"/>
        <v>1.5068493150684932</v>
      </c>
      <c r="O71" s="16">
        <f t="shared" si="5"/>
        <v>1.3307575225383441</v>
      </c>
      <c r="P71" t="s">
        <v>219</v>
      </c>
    </row>
    <row r="72" spans="1:16" x14ac:dyDescent="0.25">
      <c r="A72" t="s">
        <v>80</v>
      </c>
      <c r="B72" t="s">
        <v>230</v>
      </c>
      <c r="C72" t="s">
        <v>89</v>
      </c>
      <c r="D72" t="s">
        <v>231</v>
      </c>
      <c r="E72">
        <v>500</v>
      </c>
      <c r="F72" s="14">
        <v>46011</v>
      </c>
      <c r="G72">
        <v>13</v>
      </c>
      <c r="H72" s="15">
        <v>547</v>
      </c>
      <c r="I72" s="15">
        <v>832</v>
      </c>
      <c r="J72" s="15">
        <v>1248</v>
      </c>
      <c r="K72">
        <v>1.5</v>
      </c>
      <c r="L72" s="15">
        <v>1248</v>
      </c>
      <c r="M72" s="15">
        <v>736</v>
      </c>
      <c r="N72" s="16">
        <f t="shared" si="4"/>
        <v>1.6639999999999999</v>
      </c>
      <c r="O72" s="16">
        <f t="shared" si="5"/>
        <v>1.472</v>
      </c>
      <c r="P72" t="s">
        <v>219</v>
      </c>
    </row>
    <row r="73" spans="1:16" x14ac:dyDescent="0.25">
      <c r="A73" t="s">
        <v>80</v>
      </c>
      <c r="B73" t="s">
        <v>232</v>
      </c>
      <c r="C73" t="s">
        <v>98</v>
      </c>
      <c r="D73" t="s">
        <v>233</v>
      </c>
      <c r="E73">
        <v>550</v>
      </c>
      <c r="F73" s="14">
        <v>46013</v>
      </c>
      <c r="G73">
        <v>12</v>
      </c>
      <c r="H73" s="15">
        <v>850</v>
      </c>
      <c r="I73" s="15">
        <v>875</v>
      </c>
      <c r="J73" s="15">
        <v>890.63</v>
      </c>
      <c r="K73">
        <v>1.0178628571428601</v>
      </c>
      <c r="L73" s="15">
        <v>890.63</v>
      </c>
      <c r="M73" s="15">
        <v>800.78083333333302</v>
      </c>
      <c r="N73" s="16">
        <f t="shared" si="4"/>
        <v>1.5909090909090908</v>
      </c>
      <c r="O73" s="16">
        <f t="shared" si="5"/>
        <v>1.455965151515151</v>
      </c>
      <c r="P73" t="s">
        <v>219</v>
      </c>
    </row>
    <row r="74" spans="1:16" x14ac:dyDescent="0.25">
      <c r="A74" t="s">
        <v>80</v>
      </c>
      <c r="B74" t="s">
        <v>234</v>
      </c>
      <c r="C74" t="s">
        <v>92</v>
      </c>
      <c r="D74" t="s">
        <v>235</v>
      </c>
      <c r="E74">
        <v>657</v>
      </c>
      <c r="F74" s="14">
        <v>46017</v>
      </c>
      <c r="G74">
        <v>13</v>
      </c>
      <c r="H74" s="15">
        <v>767</v>
      </c>
      <c r="I74" s="15">
        <v>767</v>
      </c>
      <c r="J74" s="15">
        <v>1546.78</v>
      </c>
      <c r="K74">
        <v>2.01666232073012</v>
      </c>
      <c r="L74" s="15">
        <v>1546.78</v>
      </c>
      <c r="M74" s="15">
        <v>648.01692307692304</v>
      </c>
      <c r="N74" s="16">
        <f t="shared" si="4"/>
        <v>1.1674277016742771</v>
      </c>
      <c r="O74" s="16">
        <f t="shared" si="5"/>
        <v>0.98632712797096356</v>
      </c>
      <c r="P74" t="s">
        <v>219</v>
      </c>
    </row>
    <row r="75" spans="1:16" x14ac:dyDescent="0.25">
      <c r="A75" t="s">
        <v>80</v>
      </c>
      <c r="B75" t="s">
        <v>236</v>
      </c>
      <c r="C75" t="s">
        <v>92</v>
      </c>
      <c r="D75" t="s">
        <v>237</v>
      </c>
      <c r="E75">
        <v>657</v>
      </c>
      <c r="F75" s="14">
        <v>46017</v>
      </c>
      <c r="G75">
        <v>13</v>
      </c>
      <c r="H75" s="15">
        <v>683</v>
      </c>
      <c r="I75" s="15">
        <v>968</v>
      </c>
      <c r="J75" s="15">
        <v>1952.13</v>
      </c>
      <c r="K75">
        <v>2.0166632231405002</v>
      </c>
      <c r="L75" s="15">
        <v>1952.13</v>
      </c>
      <c r="M75" s="15">
        <v>817.83615384615405</v>
      </c>
      <c r="N75" s="16">
        <f t="shared" si="4"/>
        <v>1.4733637747336377</v>
      </c>
      <c r="O75" s="16">
        <f t="shared" si="5"/>
        <v>1.2448038871326546</v>
      </c>
      <c r="P75" t="s">
        <v>219</v>
      </c>
    </row>
    <row r="76" spans="1:16" x14ac:dyDescent="0.25">
      <c r="A76" t="s">
        <v>80</v>
      </c>
      <c r="B76" t="s">
        <v>238</v>
      </c>
      <c r="C76" t="s">
        <v>86</v>
      </c>
      <c r="D76" t="s">
        <v>239</v>
      </c>
      <c r="E76">
        <v>814</v>
      </c>
      <c r="F76" s="14">
        <v>46021</v>
      </c>
      <c r="G76">
        <v>13</v>
      </c>
      <c r="H76" s="15">
        <v>1105</v>
      </c>
      <c r="I76" s="15">
        <v>993</v>
      </c>
      <c r="J76" s="15">
        <v>3491.52</v>
      </c>
      <c r="K76">
        <v>3.5161329305136002</v>
      </c>
      <c r="L76" s="15">
        <v>3491.52</v>
      </c>
      <c r="M76" s="15">
        <v>724.42153846153803</v>
      </c>
      <c r="N76" s="16">
        <f t="shared" si="4"/>
        <v>1.2199017199017199</v>
      </c>
      <c r="O76" s="16">
        <f t="shared" si="5"/>
        <v>0.88995274995274942</v>
      </c>
      <c r="P76" t="s">
        <v>219</v>
      </c>
    </row>
    <row r="77" spans="1:16" x14ac:dyDescent="0.25">
      <c r="A77" t="s">
        <v>80</v>
      </c>
      <c r="B77" t="s">
        <v>240</v>
      </c>
      <c r="C77" t="s">
        <v>98</v>
      </c>
      <c r="D77" t="s">
        <v>241</v>
      </c>
      <c r="E77">
        <v>550</v>
      </c>
      <c r="F77" s="14">
        <v>46027</v>
      </c>
      <c r="G77">
        <v>12</v>
      </c>
      <c r="H77" s="15">
        <v>715</v>
      </c>
      <c r="I77" s="15">
        <v>1000</v>
      </c>
      <c r="J77" s="15">
        <v>1000</v>
      </c>
      <c r="K77">
        <v>1</v>
      </c>
      <c r="L77" s="15">
        <v>1000</v>
      </c>
      <c r="M77" s="15">
        <v>916.66666666666697</v>
      </c>
      <c r="N77" s="16">
        <f t="shared" si="4"/>
        <v>1.8181818181818181</v>
      </c>
      <c r="O77" s="16">
        <f t="shared" si="5"/>
        <v>1.6666666666666672</v>
      </c>
      <c r="P77" t="s">
        <v>242</v>
      </c>
    </row>
    <row r="78" spans="1:16" x14ac:dyDescent="0.25">
      <c r="A78" t="s">
        <v>80</v>
      </c>
      <c r="B78" t="s">
        <v>243</v>
      </c>
      <c r="C78" t="s">
        <v>86</v>
      </c>
      <c r="D78" t="s">
        <v>244</v>
      </c>
      <c r="E78">
        <v>814</v>
      </c>
      <c r="F78" s="14">
        <v>46028</v>
      </c>
      <c r="G78">
        <v>12</v>
      </c>
      <c r="H78" s="15">
        <v>1145</v>
      </c>
      <c r="I78" s="15">
        <v>1145</v>
      </c>
      <c r="J78" s="15">
        <v>0</v>
      </c>
      <c r="K78">
        <v>0</v>
      </c>
      <c r="L78" s="15">
        <v>0</v>
      </c>
      <c r="M78" s="15">
        <v>1145</v>
      </c>
      <c r="N78" s="16">
        <f t="shared" si="4"/>
        <v>1.4066339066339066</v>
      </c>
      <c r="O78" s="16">
        <f t="shared" si="5"/>
        <v>1.4066339066339066</v>
      </c>
      <c r="P78" t="s">
        <v>242</v>
      </c>
    </row>
    <row r="79" spans="1:16" x14ac:dyDescent="0.25">
      <c r="A79" t="s">
        <v>80</v>
      </c>
      <c r="B79" t="s">
        <v>245</v>
      </c>
      <c r="C79" t="s">
        <v>92</v>
      </c>
      <c r="D79" t="s">
        <v>246</v>
      </c>
      <c r="E79">
        <v>657</v>
      </c>
      <c r="F79" s="14">
        <v>46028</v>
      </c>
      <c r="G79">
        <v>13</v>
      </c>
      <c r="H79" s="15">
        <v>1079</v>
      </c>
      <c r="I79" s="15">
        <v>1364</v>
      </c>
      <c r="J79" s="15">
        <v>2068.73</v>
      </c>
      <c r="K79">
        <v>1.5166642228739</v>
      </c>
      <c r="L79" s="15">
        <v>2068.73</v>
      </c>
      <c r="M79" s="15">
        <v>1204.8669230769201</v>
      </c>
      <c r="N79" s="16">
        <f t="shared" si="4"/>
        <v>2.0761035007610351</v>
      </c>
      <c r="O79" s="16">
        <f t="shared" si="5"/>
        <v>1.833891815946606</v>
      </c>
      <c r="P79" t="s">
        <v>242</v>
      </c>
    </row>
    <row r="80" spans="1:16" x14ac:dyDescent="0.25">
      <c r="A80" t="s">
        <v>80</v>
      </c>
      <c r="B80" t="s">
        <v>247</v>
      </c>
      <c r="C80" t="s">
        <v>182</v>
      </c>
      <c r="D80" t="s">
        <v>248</v>
      </c>
      <c r="E80">
        <v>875</v>
      </c>
      <c r="F80" s="14">
        <v>46030</v>
      </c>
      <c r="G80">
        <v>13</v>
      </c>
      <c r="H80" s="15">
        <v>1295</v>
      </c>
      <c r="I80" s="15">
        <v>1295</v>
      </c>
      <c r="J80" s="15">
        <v>3237.5</v>
      </c>
      <c r="K80">
        <v>2.5</v>
      </c>
      <c r="L80" s="15">
        <v>3237.5</v>
      </c>
      <c r="M80" s="15">
        <v>1045.9615384615399</v>
      </c>
      <c r="N80" s="16">
        <f t="shared" si="4"/>
        <v>1.48</v>
      </c>
      <c r="O80" s="16">
        <f t="shared" si="5"/>
        <v>1.195384615384617</v>
      </c>
      <c r="P80" t="s">
        <v>242</v>
      </c>
    </row>
    <row r="81" spans="1:16" x14ac:dyDescent="0.25">
      <c r="A81" t="s">
        <v>80</v>
      </c>
      <c r="B81" t="s">
        <v>249</v>
      </c>
      <c r="C81" t="s">
        <v>119</v>
      </c>
      <c r="D81" t="s">
        <v>250</v>
      </c>
      <c r="E81">
        <v>700</v>
      </c>
      <c r="F81" s="14">
        <v>46031</v>
      </c>
      <c r="G81">
        <v>13</v>
      </c>
      <c r="H81" s="15">
        <v>1205</v>
      </c>
      <c r="I81" s="15">
        <v>990</v>
      </c>
      <c r="J81" s="15">
        <v>1501.5</v>
      </c>
      <c r="K81">
        <v>1.5166666666666699</v>
      </c>
      <c r="L81" s="15">
        <v>1501.5</v>
      </c>
      <c r="M81" s="15">
        <v>874.5</v>
      </c>
      <c r="N81" s="16">
        <f t="shared" si="4"/>
        <v>1.4142857142857144</v>
      </c>
      <c r="O81" s="16">
        <f t="shared" si="5"/>
        <v>1.2492857142857143</v>
      </c>
      <c r="P81" t="s">
        <v>242</v>
      </c>
    </row>
    <row r="82" spans="1:16" x14ac:dyDescent="0.25">
      <c r="A82" t="s">
        <v>80</v>
      </c>
      <c r="B82" t="s">
        <v>251</v>
      </c>
      <c r="C82" t="s">
        <v>92</v>
      </c>
      <c r="D82" t="s">
        <v>252</v>
      </c>
      <c r="E82">
        <v>657</v>
      </c>
      <c r="F82" s="14">
        <v>46031</v>
      </c>
      <c r="G82">
        <v>13</v>
      </c>
      <c r="H82" s="15">
        <v>1179</v>
      </c>
      <c r="I82" s="15">
        <v>1179</v>
      </c>
      <c r="J82" s="15">
        <v>2966.52</v>
      </c>
      <c r="K82">
        <v>2.51613231552163</v>
      </c>
      <c r="L82" s="15">
        <v>2966.52</v>
      </c>
      <c r="M82" s="15">
        <v>950.80615384615396</v>
      </c>
      <c r="N82" s="16">
        <f t="shared" si="4"/>
        <v>1.7945205479452055</v>
      </c>
      <c r="O82" s="16">
        <f t="shared" si="5"/>
        <v>1.447193537056551</v>
      </c>
      <c r="P82" t="s">
        <v>242</v>
      </c>
    </row>
    <row r="83" spans="1:16" x14ac:dyDescent="0.25">
      <c r="A83" t="s">
        <v>80</v>
      </c>
      <c r="B83" t="s">
        <v>253</v>
      </c>
      <c r="C83" t="s">
        <v>95</v>
      </c>
      <c r="D83" t="s">
        <v>254</v>
      </c>
      <c r="E83">
        <v>930</v>
      </c>
      <c r="F83" s="14">
        <v>46032</v>
      </c>
      <c r="G83">
        <v>13</v>
      </c>
      <c r="H83" s="15">
        <v>1185</v>
      </c>
      <c r="I83" s="15">
        <v>1185</v>
      </c>
      <c r="J83" s="15">
        <v>3212.5</v>
      </c>
      <c r="K83">
        <v>2.7109704641350199</v>
      </c>
      <c r="L83" s="15">
        <v>3212.5</v>
      </c>
      <c r="M83" s="15">
        <v>937.88461538461502</v>
      </c>
      <c r="N83" s="16">
        <f t="shared" si="4"/>
        <v>1.2741935483870968</v>
      </c>
      <c r="O83" s="16">
        <f t="shared" si="5"/>
        <v>1.0084780810587257</v>
      </c>
      <c r="P83" t="s">
        <v>242</v>
      </c>
    </row>
    <row r="84" spans="1:16" x14ac:dyDescent="0.25">
      <c r="A84" t="s">
        <v>80</v>
      </c>
      <c r="B84" t="s">
        <v>255</v>
      </c>
      <c r="C84" t="s">
        <v>82</v>
      </c>
      <c r="D84" t="s">
        <v>256</v>
      </c>
      <c r="E84">
        <v>1130</v>
      </c>
      <c r="F84" s="14">
        <v>46035</v>
      </c>
      <c r="G84">
        <v>12</v>
      </c>
      <c r="H84" s="15">
        <v>1480</v>
      </c>
      <c r="I84" s="15">
        <v>1480</v>
      </c>
      <c r="J84" s="15">
        <v>1479.67</v>
      </c>
      <c r="K84">
        <v>0.99977702702702698</v>
      </c>
      <c r="L84" s="15">
        <v>1479.67</v>
      </c>
      <c r="M84" s="15">
        <v>1356.6941666666701</v>
      </c>
      <c r="N84" s="16">
        <f t="shared" si="4"/>
        <v>1.3097345132743363</v>
      </c>
      <c r="O84" s="16">
        <f t="shared" si="5"/>
        <v>1.2006143067846637</v>
      </c>
      <c r="P84" t="s">
        <v>242</v>
      </c>
    </row>
    <row r="85" spans="1:16" x14ac:dyDescent="0.25">
      <c r="A85" t="s">
        <v>80</v>
      </c>
      <c r="B85" t="s">
        <v>257</v>
      </c>
      <c r="C85" t="s">
        <v>119</v>
      </c>
      <c r="D85" t="s">
        <v>151</v>
      </c>
      <c r="E85">
        <v>700</v>
      </c>
      <c r="F85" s="14">
        <v>46037</v>
      </c>
      <c r="G85">
        <v>13</v>
      </c>
      <c r="H85" s="15">
        <v>1160</v>
      </c>
      <c r="I85" s="15">
        <v>1094</v>
      </c>
      <c r="J85" s="15">
        <v>3282</v>
      </c>
      <c r="K85">
        <v>3</v>
      </c>
      <c r="L85" s="15">
        <v>3282</v>
      </c>
      <c r="M85" s="15">
        <v>841.538461538462</v>
      </c>
      <c r="N85" s="16">
        <f t="shared" si="4"/>
        <v>1.5628571428571429</v>
      </c>
      <c r="O85" s="16">
        <f t="shared" si="5"/>
        <v>1.2021978021978028</v>
      </c>
      <c r="P85" t="s">
        <v>242</v>
      </c>
    </row>
    <row r="86" spans="1:16" x14ac:dyDescent="0.25">
      <c r="A86" t="s">
        <v>80</v>
      </c>
      <c r="B86" t="s">
        <v>258</v>
      </c>
      <c r="C86" t="s">
        <v>113</v>
      </c>
      <c r="D86" t="s">
        <v>259</v>
      </c>
      <c r="E86">
        <v>1028</v>
      </c>
      <c r="F86" s="14">
        <v>46038</v>
      </c>
      <c r="G86">
        <v>12</v>
      </c>
      <c r="H86" s="15">
        <v>1259</v>
      </c>
      <c r="I86" s="15">
        <v>1259</v>
      </c>
      <c r="J86" s="15">
        <v>1929.11</v>
      </c>
      <c r="K86">
        <v>1.5322557585385199</v>
      </c>
      <c r="L86" s="15">
        <v>1929.11</v>
      </c>
      <c r="M86" s="15">
        <v>1098.2408333333301</v>
      </c>
      <c r="N86" s="16">
        <f t="shared" si="4"/>
        <v>1.2247081712062258</v>
      </c>
      <c r="O86" s="16">
        <f t="shared" si="5"/>
        <v>1.0683276588845623</v>
      </c>
      <c r="P86" t="s">
        <v>242</v>
      </c>
    </row>
    <row r="87" spans="1:16" x14ac:dyDescent="0.25">
      <c r="A87" t="s">
        <v>80</v>
      </c>
      <c r="B87" t="s">
        <v>260</v>
      </c>
      <c r="C87" t="s">
        <v>82</v>
      </c>
      <c r="D87" t="s">
        <v>261</v>
      </c>
      <c r="E87">
        <v>1130</v>
      </c>
      <c r="F87" s="14">
        <v>46043</v>
      </c>
      <c r="G87">
        <v>12</v>
      </c>
      <c r="H87" s="15">
        <v>1425</v>
      </c>
      <c r="I87" s="15">
        <v>1340</v>
      </c>
      <c r="J87" s="15">
        <v>4063.23</v>
      </c>
      <c r="K87">
        <v>3.0322611940298501</v>
      </c>
      <c r="L87" s="15">
        <v>4063.23</v>
      </c>
      <c r="M87" s="15">
        <v>1001.3975</v>
      </c>
      <c r="N87" s="16">
        <f t="shared" si="4"/>
        <v>1.1858407079646018</v>
      </c>
      <c r="O87" s="16">
        <f t="shared" si="5"/>
        <v>0.88619247787610622</v>
      </c>
      <c r="P87" t="s">
        <v>242</v>
      </c>
    </row>
    <row r="88" spans="1:16" x14ac:dyDescent="0.25">
      <c r="A88" t="s">
        <v>80</v>
      </c>
      <c r="B88" t="s">
        <v>262</v>
      </c>
      <c r="C88" t="s">
        <v>193</v>
      </c>
      <c r="D88" t="s">
        <v>263</v>
      </c>
      <c r="E88">
        <v>980</v>
      </c>
      <c r="F88" s="14">
        <v>46045</v>
      </c>
      <c r="G88">
        <v>12</v>
      </c>
      <c r="H88" s="15">
        <v>1285</v>
      </c>
      <c r="I88" s="15">
        <v>1285</v>
      </c>
      <c r="J88" s="15">
        <v>3855</v>
      </c>
      <c r="K88">
        <v>3</v>
      </c>
      <c r="L88" s="15">
        <v>3855</v>
      </c>
      <c r="M88" s="15">
        <v>963.75</v>
      </c>
      <c r="N88" s="16">
        <f t="shared" si="4"/>
        <v>1.3112244897959184</v>
      </c>
      <c r="O88" s="16">
        <f t="shared" si="5"/>
        <v>0.98341836734693877</v>
      </c>
      <c r="P88" t="s">
        <v>242</v>
      </c>
    </row>
    <row r="89" spans="1:16" x14ac:dyDescent="0.25">
      <c r="A89" t="s">
        <v>80</v>
      </c>
      <c r="B89" t="s">
        <v>264</v>
      </c>
      <c r="C89" t="s">
        <v>82</v>
      </c>
      <c r="D89" t="s">
        <v>265</v>
      </c>
      <c r="E89">
        <v>1130</v>
      </c>
      <c r="F89" s="14">
        <v>46045</v>
      </c>
      <c r="G89">
        <v>12</v>
      </c>
      <c r="H89" s="15">
        <v>1294</v>
      </c>
      <c r="I89" s="15">
        <v>1294</v>
      </c>
      <c r="J89" s="15">
        <v>0</v>
      </c>
      <c r="K89">
        <v>0</v>
      </c>
      <c r="L89" s="15">
        <v>0</v>
      </c>
      <c r="M89" s="15">
        <v>1294</v>
      </c>
      <c r="N89" s="16">
        <f t="shared" si="4"/>
        <v>1.1451327433628318</v>
      </c>
      <c r="O89" s="16">
        <f t="shared" si="5"/>
        <v>1.1451327433628318</v>
      </c>
      <c r="P89" t="s">
        <v>242</v>
      </c>
    </row>
    <row r="90" spans="1:16" x14ac:dyDescent="0.25">
      <c r="A90" t="s">
        <v>80</v>
      </c>
      <c r="B90" t="s">
        <v>266</v>
      </c>
      <c r="C90" t="s">
        <v>95</v>
      </c>
      <c r="D90" t="s">
        <v>267</v>
      </c>
      <c r="E90">
        <v>930</v>
      </c>
      <c r="F90" s="14">
        <v>46048</v>
      </c>
      <c r="G90">
        <v>12</v>
      </c>
      <c r="H90" s="15">
        <v>1185</v>
      </c>
      <c r="I90" s="15">
        <v>924</v>
      </c>
      <c r="J90" s="15">
        <v>924</v>
      </c>
      <c r="K90">
        <v>1</v>
      </c>
      <c r="L90" s="15">
        <v>924</v>
      </c>
      <c r="M90" s="15">
        <v>847</v>
      </c>
      <c r="N90" s="16">
        <f t="shared" si="4"/>
        <v>0.99354838709677418</v>
      </c>
      <c r="O90" s="16">
        <f t="shared" si="5"/>
        <v>0.91075268817204302</v>
      </c>
      <c r="P90" t="s">
        <v>242</v>
      </c>
    </row>
    <row r="91" spans="1:16" x14ac:dyDescent="0.25">
      <c r="A91" t="s">
        <v>80</v>
      </c>
      <c r="B91" t="s">
        <v>268</v>
      </c>
      <c r="C91" t="s">
        <v>86</v>
      </c>
      <c r="D91" t="s">
        <v>269</v>
      </c>
      <c r="E91">
        <v>814</v>
      </c>
      <c r="F91" s="14">
        <v>46050</v>
      </c>
      <c r="G91">
        <v>13</v>
      </c>
      <c r="H91" s="15">
        <v>965</v>
      </c>
      <c r="I91" s="15">
        <v>1135</v>
      </c>
      <c r="J91" s="15">
        <v>3442.83</v>
      </c>
      <c r="K91">
        <v>3.0333303964757699</v>
      </c>
      <c r="L91" s="15">
        <v>3442.83</v>
      </c>
      <c r="M91" s="15">
        <v>870.16692307692301</v>
      </c>
      <c r="N91" s="16">
        <f t="shared" si="4"/>
        <v>1.3943488943488944</v>
      </c>
      <c r="O91" s="16">
        <f t="shared" si="5"/>
        <v>1.0690011340011338</v>
      </c>
      <c r="P91" t="s">
        <v>242</v>
      </c>
    </row>
    <row r="92" spans="1:16" x14ac:dyDescent="0.25">
      <c r="A92" t="s">
        <v>80</v>
      </c>
      <c r="B92" t="s">
        <v>270</v>
      </c>
      <c r="C92" t="s">
        <v>92</v>
      </c>
      <c r="D92" t="s">
        <v>271</v>
      </c>
      <c r="E92">
        <v>657</v>
      </c>
      <c r="F92" s="14">
        <v>46050</v>
      </c>
      <c r="G92">
        <v>12</v>
      </c>
      <c r="H92" s="15">
        <v>994</v>
      </c>
      <c r="I92" s="15">
        <v>1164</v>
      </c>
      <c r="J92" s="15">
        <v>2250.4</v>
      </c>
      <c r="K92">
        <v>1.93333333333333</v>
      </c>
      <c r="L92" s="15">
        <v>2250.4</v>
      </c>
      <c r="M92" s="15">
        <v>976.46666666666704</v>
      </c>
      <c r="N92" s="16">
        <f t="shared" si="4"/>
        <v>1.7716894977168949</v>
      </c>
      <c r="O92" s="16">
        <f t="shared" si="5"/>
        <v>1.4862506341958401</v>
      </c>
      <c r="P92" t="s">
        <v>242</v>
      </c>
    </row>
    <row r="93" spans="1:16" x14ac:dyDescent="0.25">
      <c r="A93" t="s">
        <v>80</v>
      </c>
      <c r="B93" t="s">
        <v>272</v>
      </c>
      <c r="C93" t="s">
        <v>193</v>
      </c>
      <c r="D93" t="s">
        <v>273</v>
      </c>
      <c r="E93">
        <v>980</v>
      </c>
      <c r="F93" s="14">
        <v>46051</v>
      </c>
      <c r="G93">
        <v>12</v>
      </c>
      <c r="H93" s="15">
        <v>895</v>
      </c>
      <c r="I93" s="15">
        <v>1065</v>
      </c>
      <c r="J93" s="15">
        <v>2095.65</v>
      </c>
      <c r="K93">
        <v>1.9677464788732399</v>
      </c>
      <c r="L93" s="15">
        <v>2095.65</v>
      </c>
      <c r="M93" s="15">
        <v>890.36249999999995</v>
      </c>
      <c r="N93" s="16">
        <f t="shared" si="4"/>
        <v>1.0867346938775511</v>
      </c>
      <c r="O93" s="16">
        <f t="shared" si="5"/>
        <v>0.90853316326530609</v>
      </c>
      <c r="P93" t="s">
        <v>242</v>
      </c>
    </row>
    <row r="94" spans="1:16" x14ac:dyDescent="0.25">
      <c r="A94" t="s">
        <v>80</v>
      </c>
      <c r="B94" t="s">
        <v>274</v>
      </c>
      <c r="C94" t="s">
        <v>95</v>
      </c>
      <c r="D94" t="s">
        <v>275</v>
      </c>
      <c r="E94">
        <v>930</v>
      </c>
      <c r="F94" s="14">
        <v>46052</v>
      </c>
      <c r="G94">
        <v>13</v>
      </c>
      <c r="H94" s="15">
        <v>1070</v>
      </c>
      <c r="I94" s="15">
        <v>1240</v>
      </c>
      <c r="J94" s="15">
        <v>3060</v>
      </c>
      <c r="K94">
        <v>2.4677419354838701</v>
      </c>
      <c r="L94" s="15">
        <v>3060</v>
      </c>
      <c r="M94" s="15">
        <v>1004.61538461539</v>
      </c>
      <c r="N94" s="16">
        <f t="shared" si="4"/>
        <v>1.3333333333333333</v>
      </c>
      <c r="O94" s="16">
        <f t="shared" si="5"/>
        <v>1.0802315963606344</v>
      </c>
      <c r="P94" t="s">
        <v>242</v>
      </c>
    </row>
    <row r="95" spans="1:16" x14ac:dyDescent="0.25">
      <c r="A95" t="s">
        <v>80</v>
      </c>
      <c r="B95" t="s">
        <v>276</v>
      </c>
      <c r="C95" t="s">
        <v>98</v>
      </c>
      <c r="D95" t="s">
        <v>132</v>
      </c>
      <c r="E95">
        <v>550</v>
      </c>
      <c r="F95" s="14">
        <v>46052</v>
      </c>
      <c r="G95">
        <v>12</v>
      </c>
      <c r="H95" s="15">
        <v>740</v>
      </c>
      <c r="I95" s="15">
        <v>710</v>
      </c>
      <c r="J95" s="15">
        <v>1420</v>
      </c>
      <c r="K95">
        <v>2</v>
      </c>
      <c r="L95" s="15">
        <v>1420</v>
      </c>
      <c r="M95" s="15">
        <v>591.66666666666697</v>
      </c>
      <c r="N95" s="16">
        <f t="shared" si="4"/>
        <v>1.290909090909091</v>
      </c>
      <c r="O95" s="16">
        <f t="shared" si="5"/>
        <v>1.0757575757575764</v>
      </c>
      <c r="P95" t="s">
        <v>242</v>
      </c>
    </row>
    <row r="96" spans="1:16" x14ac:dyDescent="0.25">
      <c r="A96" t="s">
        <v>80</v>
      </c>
      <c r="B96" t="s">
        <v>277</v>
      </c>
      <c r="C96" t="s">
        <v>119</v>
      </c>
      <c r="D96" t="s">
        <v>278</v>
      </c>
      <c r="E96">
        <v>700</v>
      </c>
      <c r="F96" s="14">
        <v>46052</v>
      </c>
      <c r="G96">
        <v>12</v>
      </c>
      <c r="H96" s="15">
        <v>745</v>
      </c>
      <c r="I96" s="15">
        <v>915</v>
      </c>
      <c r="J96" s="15">
        <v>1165</v>
      </c>
      <c r="K96">
        <v>1.27322404371585</v>
      </c>
      <c r="L96" s="15">
        <v>1165</v>
      </c>
      <c r="M96" s="15">
        <v>817.91666666666697</v>
      </c>
      <c r="N96" s="16">
        <f t="shared" si="4"/>
        <v>1.3071428571428572</v>
      </c>
      <c r="O96" s="16">
        <f t="shared" si="5"/>
        <v>1.1684523809523815</v>
      </c>
      <c r="P96" t="s">
        <v>242</v>
      </c>
    </row>
    <row r="97" spans="1:16" x14ac:dyDescent="0.25">
      <c r="A97" t="s">
        <v>80</v>
      </c>
      <c r="B97" t="s">
        <v>279</v>
      </c>
      <c r="C97" t="s">
        <v>95</v>
      </c>
      <c r="D97" t="s">
        <v>280</v>
      </c>
      <c r="E97">
        <v>930</v>
      </c>
      <c r="F97" s="14">
        <v>46053</v>
      </c>
      <c r="G97">
        <v>12</v>
      </c>
      <c r="H97" s="15">
        <v>874</v>
      </c>
      <c r="I97" s="15">
        <v>1044</v>
      </c>
      <c r="J97" s="15">
        <v>1044</v>
      </c>
      <c r="K97">
        <v>1</v>
      </c>
      <c r="L97" s="15">
        <v>1044</v>
      </c>
      <c r="M97" s="15">
        <v>957</v>
      </c>
      <c r="N97" s="16">
        <f t="shared" si="4"/>
        <v>1.1225806451612903</v>
      </c>
      <c r="O97" s="16">
        <f t="shared" si="5"/>
        <v>1.0290322580645161</v>
      </c>
      <c r="P97" t="s">
        <v>242</v>
      </c>
    </row>
    <row r="98" spans="1:16" x14ac:dyDescent="0.25">
      <c r="A98" t="s">
        <v>80</v>
      </c>
      <c r="B98" t="s">
        <v>279</v>
      </c>
      <c r="C98" t="s">
        <v>95</v>
      </c>
      <c r="D98" t="s">
        <v>280</v>
      </c>
      <c r="E98">
        <v>930</v>
      </c>
      <c r="F98" s="14">
        <v>46053</v>
      </c>
      <c r="G98">
        <v>12</v>
      </c>
      <c r="H98" s="15">
        <v>874</v>
      </c>
      <c r="I98" s="15">
        <v>1044</v>
      </c>
      <c r="J98" s="15">
        <v>1044</v>
      </c>
      <c r="K98">
        <v>1</v>
      </c>
      <c r="L98" s="15">
        <v>1044</v>
      </c>
      <c r="M98" s="15">
        <v>957</v>
      </c>
      <c r="N98" s="16">
        <f t="shared" ref="N98:N129" si="6">IFERROR(I98/E98,0)</f>
        <v>1.1225806451612903</v>
      </c>
      <c r="O98" s="16">
        <f t="shared" ref="O98:O129" si="7">IFERROR(M98/E98,0)</f>
        <v>1.0290322580645161</v>
      </c>
      <c r="P98" t="s">
        <v>242</v>
      </c>
    </row>
    <row r="99" spans="1:16" x14ac:dyDescent="0.25">
      <c r="A99" t="s">
        <v>80</v>
      </c>
      <c r="B99" t="s">
        <v>281</v>
      </c>
      <c r="C99" t="s">
        <v>92</v>
      </c>
      <c r="D99" t="s">
        <v>282</v>
      </c>
      <c r="E99">
        <v>657</v>
      </c>
      <c r="F99" s="14">
        <v>46054</v>
      </c>
      <c r="G99">
        <v>12</v>
      </c>
      <c r="H99" s="15">
        <v>1009</v>
      </c>
      <c r="I99" s="15">
        <v>1009</v>
      </c>
      <c r="J99" s="15">
        <v>1490</v>
      </c>
      <c r="K99">
        <v>1.4767096134786899</v>
      </c>
      <c r="L99" s="15">
        <v>1490</v>
      </c>
      <c r="M99" s="15">
        <v>884.83333333333303</v>
      </c>
      <c r="N99" s="16">
        <f t="shared" si="6"/>
        <v>1.5357686453576864</v>
      </c>
      <c r="O99" s="16">
        <f t="shared" si="7"/>
        <v>1.346778285134449</v>
      </c>
      <c r="P99" t="s">
        <v>283</v>
      </c>
    </row>
    <row r="100" spans="1:16" x14ac:dyDescent="0.25">
      <c r="A100" t="s">
        <v>80</v>
      </c>
      <c r="B100" t="s">
        <v>284</v>
      </c>
      <c r="C100" t="s">
        <v>92</v>
      </c>
      <c r="D100" t="s">
        <v>157</v>
      </c>
      <c r="E100">
        <v>657</v>
      </c>
      <c r="F100" s="14">
        <v>46056</v>
      </c>
      <c r="G100">
        <v>12</v>
      </c>
      <c r="H100" s="15">
        <v>1009</v>
      </c>
      <c r="I100" s="15">
        <v>1179</v>
      </c>
      <c r="J100" s="15">
        <v>2858</v>
      </c>
      <c r="K100">
        <v>2.4240882103477501</v>
      </c>
      <c r="L100" s="15">
        <v>2858</v>
      </c>
      <c r="M100" s="15">
        <v>940.83333333333303</v>
      </c>
      <c r="N100" s="16">
        <f t="shared" si="6"/>
        <v>1.7945205479452055</v>
      </c>
      <c r="O100" s="16">
        <f t="shared" si="7"/>
        <v>1.4320142059868082</v>
      </c>
      <c r="P100" t="s">
        <v>283</v>
      </c>
    </row>
    <row r="101" spans="1:16" x14ac:dyDescent="0.25">
      <c r="A101" t="s">
        <v>80</v>
      </c>
      <c r="B101" t="s">
        <v>285</v>
      </c>
      <c r="C101" t="s">
        <v>182</v>
      </c>
      <c r="D101" t="s">
        <v>286</v>
      </c>
      <c r="E101">
        <v>875</v>
      </c>
      <c r="F101" s="14">
        <v>46057</v>
      </c>
      <c r="G101">
        <v>12</v>
      </c>
      <c r="H101" s="15">
        <v>1055</v>
      </c>
      <c r="I101" s="15">
        <v>1225</v>
      </c>
      <c r="J101" s="15">
        <v>0</v>
      </c>
      <c r="K101">
        <v>0</v>
      </c>
      <c r="L101" s="15">
        <v>0</v>
      </c>
      <c r="M101" s="15">
        <v>1225</v>
      </c>
      <c r="N101" s="16">
        <f t="shared" si="6"/>
        <v>1.4</v>
      </c>
      <c r="O101" s="16">
        <f t="shared" si="7"/>
        <v>1.4</v>
      </c>
      <c r="P101" t="s">
        <v>283</v>
      </c>
    </row>
    <row r="102" spans="1:16" x14ac:dyDescent="0.25">
      <c r="A102" t="s">
        <v>80</v>
      </c>
      <c r="B102" t="s">
        <v>287</v>
      </c>
      <c r="C102" t="s">
        <v>89</v>
      </c>
      <c r="D102" t="s">
        <v>288</v>
      </c>
      <c r="E102">
        <v>500</v>
      </c>
      <c r="F102" s="14">
        <v>46060</v>
      </c>
      <c r="G102">
        <v>12</v>
      </c>
      <c r="H102" s="15">
        <v>755</v>
      </c>
      <c r="I102" s="15">
        <v>775</v>
      </c>
      <c r="J102" s="15">
        <v>1550</v>
      </c>
      <c r="K102">
        <v>2</v>
      </c>
      <c r="L102" s="15">
        <v>1550</v>
      </c>
      <c r="M102" s="15">
        <v>645.83333333333303</v>
      </c>
      <c r="N102" s="16">
        <f t="shared" si="6"/>
        <v>1.55</v>
      </c>
      <c r="O102" s="16">
        <f t="shared" si="7"/>
        <v>1.2916666666666661</v>
      </c>
      <c r="P102" t="s">
        <v>283</v>
      </c>
    </row>
    <row r="103" spans="1:16" x14ac:dyDescent="0.25">
      <c r="A103" t="s">
        <v>80</v>
      </c>
      <c r="B103" t="s">
        <v>289</v>
      </c>
      <c r="C103" t="s">
        <v>82</v>
      </c>
      <c r="D103" t="s">
        <v>290</v>
      </c>
      <c r="E103">
        <v>1130</v>
      </c>
      <c r="F103" s="14">
        <v>46063</v>
      </c>
      <c r="G103">
        <v>12</v>
      </c>
      <c r="H103" s="15">
        <v>1290</v>
      </c>
      <c r="I103" s="15">
        <v>1290</v>
      </c>
      <c r="J103" s="15">
        <v>0</v>
      </c>
      <c r="K103">
        <v>0</v>
      </c>
      <c r="L103" s="15">
        <v>0</v>
      </c>
      <c r="M103" s="15">
        <v>1290</v>
      </c>
      <c r="N103" s="16">
        <f t="shared" si="6"/>
        <v>1.1415929203539823</v>
      </c>
      <c r="O103" s="16">
        <f t="shared" si="7"/>
        <v>1.1415929203539823</v>
      </c>
      <c r="P103" t="s">
        <v>283</v>
      </c>
    </row>
    <row r="104" spans="1:16" x14ac:dyDescent="0.25">
      <c r="A104" t="s">
        <v>80</v>
      </c>
      <c r="B104" t="s">
        <v>291</v>
      </c>
      <c r="C104" t="s">
        <v>95</v>
      </c>
      <c r="D104" t="s">
        <v>292</v>
      </c>
      <c r="E104">
        <v>930</v>
      </c>
      <c r="F104" s="14">
        <v>46064</v>
      </c>
      <c r="G104">
        <v>12</v>
      </c>
      <c r="H104" s="15">
        <v>1045</v>
      </c>
      <c r="I104" s="15">
        <v>1045</v>
      </c>
      <c r="J104" s="15">
        <v>0</v>
      </c>
      <c r="K104">
        <v>0</v>
      </c>
      <c r="L104" s="15">
        <v>0</v>
      </c>
      <c r="M104" s="15">
        <v>1045</v>
      </c>
      <c r="N104" s="16">
        <f t="shared" si="6"/>
        <v>1.1236559139784945</v>
      </c>
      <c r="O104" s="16">
        <f t="shared" si="7"/>
        <v>1.1236559139784945</v>
      </c>
      <c r="P104" t="s">
        <v>283</v>
      </c>
    </row>
    <row r="105" spans="1:16" x14ac:dyDescent="0.25">
      <c r="A105" t="s">
        <v>80</v>
      </c>
      <c r="B105" t="s">
        <v>293</v>
      </c>
      <c r="C105" t="s">
        <v>86</v>
      </c>
      <c r="D105" t="s">
        <v>294</v>
      </c>
      <c r="E105">
        <v>814</v>
      </c>
      <c r="F105" s="14">
        <v>46065</v>
      </c>
      <c r="G105">
        <v>12</v>
      </c>
      <c r="H105" s="15">
        <v>985</v>
      </c>
      <c r="I105" s="15">
        <v>985</v>
      </c>
      <c r="J105" s="15">
        <v>0</v>
      </c>
      <c r="K105">
        <v>0</v>
      </c>
      <c r="L105" s="15">
        <v>0</v>
      </c>
      <c r="M105" s="15">
        <v>985</v>
      </c>
      <c r="N105" s="16">
        <f t="shared" si="6"/>
        <v>1.21007371007371</v>
      </c>
      <c r="O105" s="16">
        <f t="shared" si="7"/>
        <v>1.21007371007371</v>
      </c>
      <c r="P105" t="s">
        <v>283</v>
      </c>
    </row>
    <row r="106" spans="1:16" x14ac:dyDescent="0.25">
      <c r="A106" t="s">
        <v>80</v>
      </c>
      <c r="B106" t="s">
        <v>295</v>
      </c>
      <c r="C106" t="s">
        <v>86</v>
      </c>
      <c r="D106" t="s">
        <v>296</v>
      </c>
      <c r="E106">
        <v>814</v>
      </c>
      <c r="F106" s="14">
        <v>46066</v>
      </c>
      <c r="G106">
        <v>13</v>
      </c>
      <c r="H106" s="15">
        <v>965</v>
      </c>
      <c r="I106" s="15">
        <v>1135</v>
      </c>
      <c r="J106" s="15">
        <v>2556.61</v>
      </c>
      <c r="K106">
        <v>2.2525198237885502</v>
      </c>
      <c r="L106" s="15">
        <v>2556.61</v>
      </c>
      <c r="M106" s="15">
        <v>938.33769230769201</v>
      </c>
      <c r="N106" s="16">
        <f t="shared" si="6"/>
        <v>1.3943488943488944</v>
      </c>
      <c r="O106" s="16">
        <f t="shared" si="7"/>
        <v>1.1527490077490075</v>
      </c>
      <c r="P106" t="s">
        <v>283</v>
      </c>
    </row>
    <row r="107" spans="1:16" x14ac:dyDescent="0.25">
      <c r="A107" t="s">
        <v>80</v>
      </c>
      <c r="B107" t="s">
        <v>297</v>
      </c>
      <c r="C107" t="s">
        <v>92</v>
      </c>
      <c r="D107" t="s">
        <v>298</v>
      </c>
      <c r="E107">
        <v>657</v>
      </c>
      <c r="F107" s="14">
        <v>46068</v>
      </c>
      <c r="G107">
        <v>13</v>
      </c>
      <c r="H107" s="15">
        <v>934</v>
      </c>
      <c r="I107" s="15">
        <v>1054</v>
      </c>
      <c r="J107" s="15">
        <v>3162</v>
      </c>
      <c r="K107">
        <v>3</v>
      </c>
      <c r="L107" s="15">
        <v>3162</v>
      </c>
      <c r="M107" s="15">
        <v>810.76923076923094</v>
      </c>
      <c r="N107" s="16">
        <f t="shared" si="6"/>
        <v>1.604261796042618</v>
      </c>
      <c r="O107" s="16">
        <f t="shared" si="7"/>
        <v>1.2340475354173988</v>
      </c>
      <c r="P107" t="s">
        <v>283</v>
      </c>
    </row>
    <row r="108" spans="1:16" x14ac:dyDescent="0.25">
      <c r="A108" t="s">
        <v>80</v>
      </c>
      <c r="B108" t="s">
        <v>299</v>
      </c>
      <c r="C108" t="s">
        <v>95</v>
      </c>
      <c r="D108" t="s">
        <v>300</v>
      </c>
      <c r="E108">
        <v>930</v>
      </c>
      <c r="F108" s="14">
        <v>46069</v>
      </c>
      <c r="G108">
        <v>12</v>
      </c>
      <c r="H108" s="15">
        <v>1135</v>
      </c>
      <c r="I108" s="15">
        <v>1085</v>
      </c>
      <c r="J108" s="15">
        <v>0</v>
      </c>
      <c r="K108">
        <v>0</v>
      </c>
      <c r="L108" s="15">
        <v>0</v>
      </c>
      <c r="M108" s="15">
        <v>1085</v>
      </c>
      <c r="N108" s="16">
        <f t="shared" si="6"/>
        <v>1.1666666666666667</v>
      </c>
      <c r="O108" s="16">
        <f t="shared" si="7"/>
        <v>1.1666666666666667</v>
      </c>
      <c r="P108" t="s">
        <v>283</v>
      </c>
    </row>
    <row r="109" spans="1:16" x14ac:dyDescent="0.25">
      <c r="A109" t="s">
        <v>80</v>
      </c>
      <c r="B109" t="s">
        <v>301</v>
      </c>
      <c r="C109" t="s">
        <v>98</v>
      </c>
      <c r="D109" t="s">
        <v>302</v>
      </c>
      <c r="E109">
        <v>550</v>
      </c>
      <c r="F109" s="14">
        <v>46071</v>
      </c>
      <c r="G109">
        <v>15</v>
      </c>
      <c r="H109" s="15">
        <v>790</v>
      </c>
      <c r="I109" s="15">
        <v>730</v>
      </c>
      <c r="J109" s="15">
        <v>0</v>
      </c>
      <c r="K109">
        <v>3</v>
      </c>
      <c r="L109" s="15">
        <v>2190</v>
      </c>
      <c r="M109" s="15">
        <v>584</v>
      </c>
      <c r="N109" s="16">
        <f t="shared" si="6"/>
        <v>1.3272727272727274</v>
      </c>
      <c r="O109" s="16">
        <f t="shared" si="7"/>
        <v>1.0618181818181818</v>
      </c>
      <c r="P109" t="s">
        <v>283</v>
      </c>
    </row>
    <row r="110" spans="1:16" x14ac:dyDescent="0.25">
      <c r="A110" t="s">
        <v>80</v>
      </c>
      <c r="B110" t="s">
        <v>303</v>
      </c>
      <c r="C110" t="s">
        <v>182</v>
      </c>
      <c r="D110" t="s">
        <v>304</v>
      </c>
      <c r="E110">
        <v>875</v>
      </c>
      <c r="F110" s="14">
        <v>46073</v>
      </c>
      <c r="G110">
        <v>12</v>
      </c>
      <c r="H110" s="15">
        <v>1105</v>
      </c>
      <c r="I110" s="15">
        <v>1055</v>
      </c>
      <c r="J110" s="15">
        <v>500</v>
      </c>
      <c r="K110">
        <v>0.47393364928909998</v>
      </c>
      <c r="L110" s="15">
        <v>500</v>
      </c>
      <c r="M110" s="15">
        <v>1013.33333333333</v>
      </c>
      <c r="N110" s="16">
        <f t="shared" si="6"/>
        <v>1.2057142857142857</v>
      </c>
      <c r="O110" s="16">
        <f t="shared" si="7"/>
        <v>1.1580952380952343</v>
      </c>
      <c r="P110" t="s">
        <v>283</v>
      </c>
    </row>
    <row r="111" spans="1:16" x14ac:dyDescent="0.25">
      <c r="A111" t="s">
        <v>80</v>
      </c>
      <c r="B111" t="s">
        <v>305</v>
      </c>
      <c r="C111" t="s">
        <v>86</v>
      </c>
      <c r="D111" t="s">
        <v>306</v>
      </c>
      <c r="E111">
        <v>814</v>
      </c>
      <c r="F111" s="14">
        <v>46074</v>
      </c>
      <c r="G111">
        <v>15</v>
      </c>
      <c r="H111" s="15">
        <v>804</v>
      </c>
      <c r="I111" s="15">
        <v>754</v>
      </c>
      <c r="J111" s="15">
        <v>0</v>
      </c>
      <c r="K111">
        <v>0</v>
      </c>
      <c r="L111" s="15">
        <v>0</v>
      </c>
      <c r="M111" s="15">
        <v>754</v>
      </c>
      <c r="N111" s="16">
        <f t="shared" si="6"/>
        <v>0.92628992628992624</v>
      </c>
      <c r="O111" s="16">
        <f t="shared" si="7"/>
        <v>0.92628992628992624</v>
      </c>
      <c r="P111" t="s">
        <v>283</v>
      </c>
    </row>
    <row r="112" spans="1:16" x14ac:dyDescent="0.25">
      <c r="A112" t="s">
        <v>80</v>
      </c>
      <c r="B112" t="s">
        <v>307</v>
      </c>
      <c r="C112" t="s">
        <v>82</v>
      </c>
      <c r="D112" t="s">
        <v>308</v>
      </c>
      <c r="E112">
        <v>1130</v>
      </c>
      <c r="F112" s="14">
        <v>46077</v>
      </c>
      <c r="G112">
        <v>13</v>
      </c>
      <c r="H112" s="15">
        <v>1375</v>
      </c>
      <c r="I112" s="15">
        <v>1495</v>
      </c>
      <c r="J112" s="15">
        <v>3490</v>
      </c>
      <c r="K112">
        <v>2.3344481605351199</v>
      </c>
      <c r="L112" s="15">
        <v>3490</v>
      </c>
      <c r="M112" s="15">
        <v>1226.5384615384601</v>
      </c>
      <c r="N112" s="16">
        <f t="shared" si="6"/>
        <v>1.3230088495575221</v>
      </c>
      <c r="O112" s="16">
        <f t="shared" si="7"/>
        <v>1.0854322668481948</v>
      </c>
      <c r="P112" t="s">
        <v>283</v>
      </c>
    </row>
    <row r="113" spans="1:16" x14ac:dyDescent="0.25">
      <c r="A113" t="s">
        <v>80</v>
      </c>
      <c r="B113" t="s">
        <v>309</v>
      </c>
      <c r="C113" t="s">
        <v>86</v>
      </c>
      <c r="D113" t="s">
        <v>310</v>
      </c>
      <c r="E113">
        <v>814</v>
      </c>
      <c r="F113" s="14">
        <v>46078</v>
      </c>
      <c r="G113">
        <v>15</v>
      </c>
      <c r="H113" s="15">
        <v>1000</v>
      </c>
      <c r="I113" s="15">
        <v>1000</v>
      </c>
      <c r="J113" s="15">
        <v>0</v>
      </c>
      <c r="K113">
        <v>0</v>
      </c>
      <c r="L113" s="15">
        <v>0</v>
      </c>
      <c r="M113" s="15">
        <v>1000</v>
      </c>
      <c r="N113" s="16">
        <f t="shared" si="6"/>
        <v>1.2285012285012284</v>
      </c>
      <c r="O113" s="16">
        <f t="shared" si="7"/>
        <v>1.2285012285012284</v>
      </c>
      <c r="P113" t="s">
        <v>283</v>
      </c>
    </row>
    <row r="114" spans="1:16" x14ac:dyDescent="0.25">
      <c r="A114" t="s">
        <v>80</v>
      </c>
      <c r="B114" t="s">
        <v>311</v>
      </c>
      <c r="C114" t="s">
        <v>95</v>
      </c>
      <c r="D114" t="s">
        <v>312</v>
      </c>
      <c r="E114">
        <v>930</v>
      </c>
      <c r="F114" s="14">
        <v>46079</v>
      </c>
      <c r="G114">
        <v>12</v>
      </c>
      <c r="H114" s="15">
        <v>1065</v>
      </c>
      <c r="I114" s="15">
        <v>985</v>
      </c>
      <c r="J114" s="15">
        <v>0</v>
      </c>
      <c r="K114">
        <v>0</v>
      </c>
      <c r="L114" s="15">
        <v>0</v>
      </c>
      <c r="M114" s="15">
        <v>985</v>
      </c>
      <c r="N114" s="16">
        <f t="shared" si="6"/>
        <v>1.0591397849462365</v>
      </c>
      <c r="O114" s="16">
        <f t="shared" si="7"/>
        <v>1.0591397849462365</v>
      </c>
      <c r="P114" t="s">
        <v>283</v>
      </c>
    </row>
    <row r="115" spans="1:16" x14ac:dyDescent="0.25">
      <c r="A115" t="s">
        <v>80</v>
      </c>
      <c r="B115" t="s">
        <v>313</v>
      </c>
      <c r="C115" t="s">
        <v>82</v>
      </c>
      <c r="D115" t="s">
        <v>314</v>
      </c>
      <c r="E115">
        <v>1130</v>
      </c>
      <c r="F115" s="14">
        <v>46080</v>
      </c>
      <c r="G115">
        <v>12</v>
      </c>
      <c r="H115" s="15">
        <v>1305</v>
      </c>
      <c r="I115" s="15">
        <v>1170</v>
      </c>
      <c r="J115" s="15">
        <v>0</v>
      </c>
      <c r="K115">
        <v>0</v>
      </c>
      <c r="L115" s="15">
        <v>0</v>
      </c>
      <c r="M115" s="15">
        <v>1170</v>
      </c>
      <c r="N115" s="16">
        <f t="shared" si="6"/>
        <v>1.0353982300884956</v>
      </c>
      <c r="O115" s="16">
        <f t="shared" si="7"/>
        <v>1.0353982300884956</v>
      </c>
      <c r="P115" t="s">
        <v>283</v>
      </c>
    </row>
    <row r="116" spans="1:16" x14ac:dyDescent="0.25">
      <c r="A116" t="s">
        <v>80</v>
      </c>
      <c r="B116" t="s">
        <v>315</v>
      </c>
      <c r="C116" t="s">
        <v>119</v>
      </c>
      <c r="D116" t="s">
        <v>316</v>
      </c>
      <c r="E116">
        <v>700</v>
      </c>
      <c r="F116" s="14">
        <v>46080</v>
      </c>
      <c r="G116">
        <v>12</v>
      </c>
      <c r="H116" s="15">
        <v>1100</v>
      </c>
      <c r="I116" s="15">
        <v>1100</v>
      </c>
      <c r="J116" s="15">
        <v>0</v>
      </c>
      <c r="K116">
        <v>0</v>
      </c>
      <c r="L116" s="15">
        <v>0</v>
      </c>
      <c r="M116" s="15">
        <v>1100</v>
      </c>
      <c r="N116" s="16">
        <f t="shared" si="6"/>
        <v>1.5714285714285714</v>
      </c>
      <c r="O116" s="16">
        <f t="shared" si="7"/>
        <v>1.5714285714285714</v>
      </c>
      <c r="P116" t="s">
        <v>283</v>
      </c>
    </row>
    <row r="117" spans="1:16" x14ac:dyDescent="0.25">
      <c r="A117" t="s">
        <v>80</v>
      </c>
      <c r="B117" t="s">
        <v>317</v>
      </c>
      <c r="C117" t="s">
        <v>95</v>
      </c>
      <c r="D117" t="s">
        <v>318</v>
      </c>
      <c r="E117">
        <v>930</v>
      </c>
      <c r="F117" s="14">
        <v>46081</v>
      </c>
      <c r="G117">
        <v>12</v>
      </c>
      <c r="H117" s="15">
        <v>1065</v>
      </c>
      <c r="I117" s="15">
        <v>1015</v>
      </c>
      <c r="J117" s="15">
        <v>0</v>
      </c>
      <c r="K117">
        <v>0</v>
      </c>
      <c r="L117" s="15">
        <v>0</v>
      </c>
      <c r="M117" s="15">
        <v>1015</v>
      </c>
      <c r="N117" s="16">
        <f t="shared" si="6"/>
        <v>1.0913978494623655</v>
      </c>
      <c r="O117" s="16">
        <f t="shared" si="7"/>
        <v>1.0913978494623655</v>
      </c>
      <c r="P117" t="s">
        <v>283</v>
      </c>
    </row>
    <row r="118" spans="1:16" x14ac:dyDescent="0.25">
      <c r="A118" t="s">
        <v>80</v>
      </c>
      <c r="B118" t="s">
        <v>319</v>
      </c>
      <c r="C118" t="s">
        <v>86</v>
      </c>
      <c r="D118" t="s">
        <v>320</v>
      </c>
      <c r="E118">
        <v>814</v>
      </c>
      <c r="F118" s="14">
        <v>46081</v>
      </c>
      <c r="G118">
        <v>15</v>
      </c>
      <c r="H118" s="15">
        <v>1050</v>
      </c>
      <c r="I118" s="15">
        <v>1000</v>
      </c>
      <c r="J118" s="15">
        <v>0</v>
      </c>
      <c r="K118">
        <v>0</v>
      </c>
      <c r="L118" s="15">
        <v>0</v>
      </c>
      <c r="M118" s="15">
        <v>1000</v>
      </c>
      <c r="N118" s="16">
        <f t="shared" si="6"/>
        <v>1.2285012285012284</v>
      </c>
      <c r="O118" s="16">
        <f t="shared" si="7"/>
        <v>1.2285012285012284</v>
      </c>
      <c r="P118" t="s">
        <v>283</v>
      </c>
    </row>
    <row r="119" spans="1:16" x14ac:dyDescent="0.25">
      <c r="A119" t="s">
        <v>80</v>
      </c>
      <c r="B119" t="s">
        <v>321</v>
      </c>
      <c r="C119" t="s">
        <v>89</v>
      </c>
      <c r="D119" t="s">
        <v>322</v>
      </c>
      <c r="E119">
        <v>500</v>
      </c>
      <c r="F119" s="14">
        <v>46082</v>
      </c>
      <c r="G119">
        <v>12</v>
      </c>
      <c r="H119" s="15">
        <v>820</v>
      </c>
      <c r="I119" s="15">
        <v>820</v>
      </c>
      <c r="J119" s="15">
        <v>0</v>
      </c>
      <c r="K119">
        <v>0</v>
      </c>
      <c r="L119" s="15">
        <v>0</v>
      </c>
      <c r="M119" s="15">
        <v>820</v>
      </c>
      <c r="N119" s="16">
        <f t="shared" si="6"/>
        <v>1.64</v>
      </c>
      <c r="O119" s="16">
        <f t="shared" si="7"/>
        <v>1.64</v>
      </c>
      <c r="P119" t="s">
        <v>323</v>
      </c>
    </row>
    <row r="120" spans="1:16" x14ac:dyDescent="0.25">
      <c r="A120" t="s">
        <v>80</v>
      </c>
      <c r="B120" t="s">
        <v>324</v>
      </c>
      <c r="C120" t="s">
        <v>92</v>
      </c>
      <c r="D120" t="s">
        <v>325</v>
      </c>
      <c r="E120">
        <v>657</v>
      </c>
      <c r="F120" s="14">
        <v>46082</v>
      </c>
      <c r="G120">
        <v>12</v>
      </c>
      <c r="H120" s="15">
        <v>974</v>
      </c>
      <c r="I120" s="15">
        <v>926</v>
      </c>
      <c r="J120" s="15">
        <v>0</v>
      </c>
      <c r="K120">
        <v>0</v>
      </c>
      <c r="L120" s="15">
        <v>0</v>
      </c>
      <c r="M120" s="15">
        <v>926</v>
      </c>
      <c r="N120" s="16">
        <f t="shared" si="6"/>
        <v>1.4094368340943684</v>
      </c>
      <c r="O120" s="16">
        <f t="shared" si="7"/>
        <v>1.4094368340943684</v>
      </c>
      <c r="P120" t="s">
        <v>323</v>
      </c>
    </row>
    <row r="121" spans="1:16" x14ac:dyDescent="0.25">
      <c r="A121" t="s">
        <v>80</v>
      </c>
      <c r="B121" t="s">
        <v>326</v>
      </c>
      <c r="C121" t="s">
        <v>95</v>
      </c>
      <c r="D121" t="s">
        <v>327</v>
      </c>
      <c r="E121">
        <v>930</v>
      </c>
      <c r="F121" s="14">
        <v>46083</v>
      </c>
      <c r="G121">
        <v>12</v>
      </c>
      <c r="H121" s="15">
        <v>1110</v>
      </c>
      <c r="I121" s="15">
        <v>1060</v>
      </c>
      <c r="J121" s="15">
        <v>0</v>
      </c>
      <c r="K121">
        <v>0</v>
      </c>
      <c r="L121" s="15">
        <v>0</v>
      </c>
      <c r="M121" s="15">
        <v>1060</v>
      </c>
      <c r="N121" s="16">
        <f t="shared" si="6"/>
        <v>1.1397849462365592</v>
      </c>
      <c r="O121" s="16">
        <f t="shared" si="7"/>
        <v>1.1397849462365592</v>
      </c>
      <c r="P121" t="s">
        <v>323</v>
      </c>
    </row>
    <row r="122" spans="1:16" x14ac:dyDescent="0.25">
      <c r="A122" t="s">
        <v>80</v>
      </c>
      <c r="B122" t="s">
        <v>328</v>
      </c>
      <c r="C122" t="s">
        <v>86</v>
      </c>
      <c r="D122" t="s">
        <v>329</v>
      </c>
      <c r="E122">
        <v>814</v>
      </c>
      <c r="F122" s="14">
        <v>46083</v>
      </c>
      <c r="G122">
        <v>12</v>
      </c>
      <c r="H122" s="15">
        <v>1015</v>
      </c>
      <c r="I122" s="15">
        <v>965</v>
      </c>
      <c r="J122" s="15">
        <v>0</v>
      </c>
      <c r="K122">
        <v>0</v>
      </c>
      <c r="L122" s="15">
        <v>0</v>
      </c>
      <c r="M122" s="15">
        <v>965</v>
      </c>
      <c r="N122" s="16">
        <f t="shared" si="6"/>
        <v>1.1855036855036856</v>
      </c>
      <c r="O122" s="16">
        <f t="shared" si="7"/>
        <v>1.1855036855036856</v>
      </c>
      <c r="P122" t="s">
        <v>323</v>
      </c>
    </row>
    <row r="123" spans="1:16" x14ac:dyDescent="0.25">
      <c r="A123" t="s">
        <v>80</v>
      </c>
      <c r="B123" t="s">
        <v>330</v>
      </c>
      <c r="C123" t="s">
        <v>98</v>
      </c>
      <c r="D123" t="s">
        <v>331</v>
      </c>
      <c r="E123">
        <v>550</v>
      </c>
      <c r="F123" s="14">
        <v>46084</v>
      </c>
      <c r="G123">
        <v>12</v>
      </c>
      <c r="H123" s="15">
        <v>775</v>
      </c>
      <c r="I123" s="15">
        <v>575</v>
      </c>
      <c r="J123" s="15">
        <v>0</v>
      </c>
      <c r="K123">
        <v>0</v>
      </c>
      <c r="L123" s="15">
        <v>0</v>
      </c>
      <c r="M123" s="15">
        <v>575</v>
      </c>
      <c r="N123" s="16">
        <f t="shared" si="6"/>
        <v>1.0454545454545454</v>
      </c>
      <c r="O123" s="16">
        <f t="shared" si="7"/>
        <v>1.0454545454545454</v>
      </c>
      <c r="P123" t="s">
        <v>323</v>
      </c>
    </row>
    <row r="124" spans="1:16" x14ac:dyDescent="0.25">
      <c r="A124" t="s">
        <v>80</v>
      </c>
      <c r="B124" t="s">
        <v>332</v>
      </c>
      <c r="C124" t="s">
        <v>92</v>
      </c>
      <c r="D124" t="s">
        <v>333</v>
      </c>
      <c r="E124">
        <v>657</v>
      </c>
      <c r="F124" s="14">
        <v>46085</v>
      </c>
      <c r="G124">
        <v>12</v>
      </c>
      <c r="H124" s="15">
        <v>1059</v>
      </c>
      <c r="I124" s="15">
        <v>1009</v>
      </c>
      <c r="J124" s="15">
        <v>0</v>
      </c>
      <c r="K124">
        <v>0</v>
      </c>
      <c r="L124" s="15">
        <v>0</v>
      </c>
      <c r="M124" s="15">
        <v>1009</v>
      </c>
      <c r="N124" s="16">
        <f t="shared" si="6"/>
        <v>1.5357686453576864</v>
      </c>
      <c r="O124" s="16">
        <f t="shared" si="7"/>
        <v>1.5357686453576864</v>
      </c>
      <c r="P124" t="s">
        <v>323</v>
      </c>
    </row>
    <row r="125" spans="1:16" x14ac:dyDescent="0.25">
      <c r="A125" t="s">
        <v>80</v>
      </c>
      <c r="B125" t="s">
        <v>334</v>
      </c>
      <c r="C125" t="s">
        <v>119</v>
      </c>
      <c r="D125" t="s">
        <v>335</v>
      </c>
      <c r="E125">
        <v>700</v>
      </c>
      <c r="F125" s="14">
        <v>46087</v>
      </c>
      <c r="G125">
        <v>12</v>
      </c>
      <c r="H125" s="15">
        <v>1015</v>
      </c>
      <c r="I125" s="15">
        <v>925</v>
      </c>
      <c r="J125" s="15">
        <v>0</v>
      </c>
      <c r="K125">
        <v>0</v>
      </c>
      <c r="L125" s="15">
        <v>0</v>
      </c>
      <c r="M125" s="15">
        <v>925</v>
      </c>
      <c r="N125" s="16">
        <f t="shared" si="6"/>
        <v>1.3214285714285714</v>
      </c>
      <c r="O125" s="16">
        <f t="shared" si="7"/>
        <v>1.3214285714285714</v>
      </c>
      <c r="P125" t="s">
        <v>323</v>
      </c>
    </row>
    <row r="126" spans="1:16" x14ac:dyDescent="0.25">
      <c r="A126" t="s">
        <v>80</v>
      </c>
      <c r="B126" t="s">
        <v>336</v>
      </c>
      <c r="C126" t="s">
        <v>82</v>
      </c>
      <c r="D126" t="s">
        <v>337</v>
      </c>
      <c r="E126">
        <v>1130</v>
      </c>
      <c r="F126" s="14">
        <v>46090</v>
      </c>
      <c r="G126">
        <v>12</v>
      </c>
      <c r="H126" s="15">
        <v>1375</v>
      </c>
      <c r="I126" s="15">
        <v>1375</v>
      </c>
      <c r="J126" s="15">
        <v>0</v>
      </c>
      <c r="K126">
        <v>0</v>
      </c>
      <c r="L126" s="15">
        <v>0</v>
      </c>
      <c r="M126" s="15">
        <v>1375</v>
      </c>
      <c r="N126" s="16">
        <f t="shared" si="6"/>
        <v>1.2168141592920354</v>
      </c>
      <c r="O126" s="16">
        <f t="shared" si="7"/>
        <v>1.2168141592920354</v>
      </c>
      <c r="P126" t="s">
        <v>323</v>
      </c>
    </row>
    <row r="127" spans="1:16" x14ac:dyDescent="0.25">
      <c r="A127" t="s">
        <v>80</v>
      </c>
      <c r="B127" t="s">
        <v>338</v>
      </c>
      <c r="C127" t="s">
        <v>95</v>
      </c>
      <c r="D127" t="s">
        <v>339</v>
      </c>
      <c r="E127">
        <v>930</v>
      </c>
      <c r="F127" s="14">
        <v>46091</v>
      </c>
      <c r="G127">
        <v>15</v>
      </c>
      <c r="H127" s="15">
        <v>1145</v>
      </c>
      <c r="I127" s="15">
        <v>1145</v>
      </c>
      <c r="J127" s="15">
        <v>0</v>
      </c>
      <c r="K127">
        <v>0</v>
      </c>
      <c r="L127" s="15">
        <v>0</v>
      </c>
      <c r="M127" s="15">
        <v>1145</v>
      </c>
      <c r="N127" s="16">
        <f t="shared" si="6"/>
        <v>1.2311827956989247</v>
      </c>
      <c r="O127" s="16">
        <f t="shared" si="7"/>
        <v>1.2311827956989247</v>
      </c>
      <c r="P127" t="s">
        <v>323</v>
      </c>
    </row>
    <row r="128" spans="1:16" x14ac:dyDescent="0.25">
      <c r="A128" t="s">
        <v>80</v>
      </c>
      <c r="B128" t="s">
        <v>340</v>
      </c>
      <c r="C128" t="s">
        <v>92</v>
      </c>
      <c r="D128" t="s">
        <v>341</v>
      </c>
      <c r="E128">
        <v>657</v>
      </c>
      <c r="F128" s="14">
        <v>46091</v>
      </c>
      <c r="G128">
        <v>12</v>
      </c>
      <c r="H128" s="15">
        <v>974</v>
      </c>
      <c r="I128" s="15">
        <v>924</v>
      </c>
      <c r="J128" s="15">
        <v>0</v>
      </c>
      <c r="K128">
        <v>0</v>
      </c>
      <c r="L128" s="15">
        <v>0</v>
      </c>
      <c r="M128" s="15">
        <v>924</v>
      </c>
      <c r="N128" s="16">
        <f t="shared" si="6"/>
        <v>1.4063926940639269</v>
      </c>
      <c r="O128" s="16">
        <f t="shared" si="7"/>
        <v>1.4063926940639269</v>
      </c>
      <c r="P128" t="s">
        <v>323</v>
      </c>
    </row>
    <row r="129" spans="1:16" x14ac:dyDescent="0.25">
      <c r="A129" t="s">
        <v>80</v>
      </c>
      <c r="B129" t="s">
        <v>342</v>
      </c>
      <c r="C129" t="s">
        <v>82</v>
      </c>
      <c r="D129" t="s">
        <v>343</v>
      </c>
      <c r="E129">
        <v>1130</v>
      </c>
      <c r="F129" s="14">
        <v>46092</v>
      </c>
      <c r="G129">
        <v>12</v>
      </c>
      <c r="H129" s="15">
        <v>1330</v>
      </c>
      <c r="I129" s="15">
        <v>1270</v>
      </c>
      <c r="J129" s="15">
        <v>0</v>
      </c>
      <c r="K129">
        <v>0</v>
      </c>
      <c r="L129" s="15">
        <v>0</v>
      </c>
      <c r="M129" s="15">
        <v>1270</v>
      </c>
      <c r="N129" s="16">
        <f t="shared" si="6"/>
        <v>1.1238938053097345</v>
      </c>
      <c r="O129" s="16">
        <f t="shared" si="7"/>
        <v>1.1238938053097345</v>
      </c>
      <c r="P129" t="s">
        <v>323</v>
      </c>
    </row>
    <row r="130" spans="1:16" x14ac:dyDescent="0.25">
      <c r="A130" t="s">
        <v>80</v>
      </c>
      <c r="B130" t="s">
        <v>344</v>
      </c>
      <c r="C130" t="s">
        <v>119</v>
      </c>
      <c r="D130" t="s">
        <v>345</v>
      </c>
      <c r="E130">
        <v>700</v>
      </c>
      <c r="F130" s="14">
        <v>46092</v>
      </c>
      <c r="G130">
        <v>12</v>
      </c>
      <c r="H130" s="15">
        <v>1085</v>
      </c>
      <c r="I130" s="15">
        <v>1085</v>
      </c>
      <c r="J130" s="15">
        <v>0</v>
      </c>
      <c r="K130">
        <v>0</v>
      </c>
      <c r="L130" s="15">
        <v>0</v>
      </c>
      <c r="M130" s="15">
        <v>1085</v>
      </c>
      <c r="N130" s="16">
        <f t="shared" ref="N130:N161" si="8">IFERROR(I130/E130,0)</f>
        <v>1.55</v>
      </c>
      <c r="O130" s="16">
        <f t="shared" ref="O130:O161" si="9">IFERROR(M130/E130,0)</f>
        <v>1.55</v>
      </c>
      <c r="P130" t="s">
        <v>323</v>
      </c>
    </row>
    <row r="131" spans="1:16" x14ac:dyDescent="0.25">
      <c r="A131" t="s">
        <v>80</v>
      </c>
      <c r="B131" t="s">
        <v>346</v>
      </c>
      <c r="C131" t="s">
        <v>82</v>
      </c>
      <c r="D131" t="s">
        <v>134</v>
      </c>
      <c r="E131">
        <v>1130</v>
      </c>
      <c r="F131" s="14">
        <v>46094</v>
      </c>
      <c r="G131">
        <v>12</v>
      </c>
      <c r="H131" s="15">
        <v>1375</v>
      </c>
      <c r="I131" s="15">
        <v>1325</v>
      </c>
      <c r="J131" s="15">
        <v>0</v>
      </c>
      <c r="K131">
        <v>0</v>
      </c>
      <c r="L131" s="15">
        <v>0</v>
      </c>
      <c r="M131" s="15">
        <v>1325</v>
      </c>
      <c r="N131" s="16">
        <f t="shared" si="8"/>
        <v>1.1725663716814159</v>
      </c>
      <c r="O131" s="16">
        <f t="shared" si="9"/>
        <v>1.1725663716814159</v>
      </c>
      <c r="P131" t="s">
        <v>323</v>
      </c>
    </row>
    <row r="132" spans="1:16" x14ac:dyDescent="0.25">
      <c r="A132" t="s">
        <v>80</v>
      </c>
      <c r="B132" t="s">
        <v>347</v>
      </c>
      <c r="C132" t="s">
        <v>95</v>
      </c>
      <c r="D132" t="s">
        <v>149</v>
      </c>
      <c r="E132">
        <v>930</v>
      </c>
      <c r="F132" s="14">
        <v>46096</v>
      </c>
      <c r="G132">
        <v>12</v>
      </c>
      <c r="H132" s="15">
        <v>995</v>
      </c>
      <c r="I132" s="15">
        <v>945</v>
      </c>
      <c r="J132" s="15">
        <v>0</v>
      </c>
      <c r="K132">
        <v>0</v>
      </c>
      <c r="L132" s="15">
        <v>0</v>
      </c>
      <c r="M132" s="15">
        <v>945</v>
      </c>
      <c r="N132" s="16">
        <f t="shared" si="8"/>
        <v>1.0161290322580645</v>
      </c>
      <c r="O132" s="16">
        <f t="shared" si="9"/>
        <v>1.0161290322580645</v>
      </c>
      <c r="P132" t="s">
        <v>323</v>
      </c>
    </row>
    <row r="133" spans="1:16" x14ac:dyDescent="0.25">
      <c r="A133" t="s">
        <v>80</v>
      </c>
      <c r="B133" t="s">
        <v>348</v>
      </c>
      <c r="C133" t="s">
        <v>193</v>
      </c>
      <c r="D133" t="s">
        <v>349</v>
      </c>
      <c r="E133">
        <v>980</v>
      </c>
      <c r="F133" s="14">
        <v>46098</v>
      </c>
      <c r="G133">
        <v>12</v>
      </c>
      <c r="H133" s="15">
        <v>1235</v>
      </c>
      <c r="I133" s="15">
        <v>1185</v>
      </c>
      <c r="J133" s="15">
        <v>0</v>
      </c>
      <c r="K133">
        <v>0</v>
      </c>
      <c r="L133" s="15">
        <v>0</v>
      </c>
      <c r="M133" s="15">
        <v>1185</v>
      </c>
      <c r="N133" s="16">
        <f t="shared" si="8"/>
        <v>1.2091836734693877</v>
      </c>
      <c r="O133" s="16">
        <f t="shared" si="9"/>
        <v>1.2091836734693877</v>
      </c>
      <c r="P133" t="s">
        <v>323</v>
      </c>
    </row>
    <row r="134" spans="1:16" x14ac:dyDescent="0.25">
      <c r="A134" t="s">
        <v>80</v>
      </c>
      <c r="B134" t="s">
        <v>350</v>
      </c>
      <c r="C134" t="s">
        <v>113</v>
      </c>
      <c r="D134" t="s">
        <v>351</v>
      </c>
      <c r="E134">
        <v>1028</v>
      </c>
      <c r="F134" s="14">
        <v>46100</v>
      </c>
      <c r="G134">
        <v>12</v>
      </c>
      <c r="H134" s="15">
        <v>1340</v>
      </c>
      <c r="I134" s="15">
        <v>1330</v>
      </c>
      <c r="J134" s="15">
        <v>0</v>
      </c>
      <c r="K134">
        <v>0</v>
      </c>
      <c r="L134" s="15">
        <v>0</v>
      </c>
      <c r="M134" s="15">
        <v>1330</v>
      </c>
      <c r="N134" s="16">
        <f t="shared" si="8"/>
        <v>1.2937743190661479</v>
      </c>
      <c r="O134" s="16">
        <f t="shared" si="9"/>
        <v>1.2937743190661479</v>
      </c>
      <c r="P134" t="s">
        <v>323</v>
      </c>
    </row>
    <row r="135" spans="1:16" x14ac:dyDescent="0.25">
      <c r="A135" t="s">
        <v>80</v>
      </c>
      <c r="B135" t="s">
        <v>352</v>
      </c>
      <c r="C135" t="s">
        <v>113</v>
      </c>
      <c r="D135" t="s">
        <v>185</v>
      </c>
      <c r="E135">
        <v>1028</v>
      </c>
      <c r="F135" s="14">
        <v>46100</v>
      </c>
      <c r="G135">
        <v>12</v>
      </c>
      <c r="H135" s="15">
        <v>1350</v>
      </c>
      <c r="I135" s="15">
        <v>1350</v>
      </c>
      <c r="J135" s="15">
        <v>0</v>
      </c>
      <c r="K135">
        <v>0</v>
      </c>
      <c r="L135" s="15">
        <v>0</v>
      </c>
      <c r="M135" s="15">
        <v>1350</v>
      </c>
      <c r="N135" s="16">
        <f t="shared" si="8"/>
        <v>1.3132295719844358</v>
      </c>
      <c r="O135" s="16">
        <f t="shared" si="9"/>
        <v>1.3132295719844358</v>
      </c>
      <c r="P135" t="s">
        <v>323</v>
      </c>
    </row>
    <row r="136" spans="1:16" x14ac:dyDescent="0.25">
      <c r="A136" t="s">
        <v>80</v>
      </c>
      <c r="B136" t="s">
        <v>353</v>
      </c>
      <c r="C136" t="s">
        <v>82</v>
      </c>
      <c r="D136" t="s">
        <v>187</v>
      </c>
      <c r="E136">
        <v>1130</v>
      </c>
      <c r="F136" s="14">
        <v>46101</v>
      </c>
      <c r="G136">
        <v>12</v>
      </c>
      <c r="H136" s="15">
        <v>1290</v>
      </c>
      <c r="I136" s="15">
        <v>1290</v>
      </c>
      <c r="J136" s="15">
        <v>860</v>
      </c>
      <c r="K136">
        <v>0.66666666666666696</v>
      </c>
      <c r="L136" s="15">
        <v>860</v>
      </c>
      <c r="M136" s="15">
        <v>1218.3333333333301</v>
      </c>
      <c r="N136" s="16">
        <f t="shared" si="8"/>
        <v>1.1415929203539823</v>
      </c>
      <c r="O136" s="16">
        <f t="shared" si="9"/>
        <v>1.0781710914454248</v>
      </c>
      <c r="P136" t="s">
        <v>323</v>
      </c>
    </row>
    <row r="137" spans="1:16" x14ac:dyDescent="0.25">
      <c r="A137" t="s">
        <v>80</v>
      </c>
      <c r="B137" t="s">
        <v>354</v>
      </c>
      <c r="C137" t="s">
        <v>119</v>
      </c>
      <c r="D137" t="s">
        <v>355</v>
      </c>
      <c r="E137">
        <v>700</v>
      </c>
      <c r="F137" s="14">
        <v>46101</v>
      </c>
      <c r="G137">
        <v>12</v>
      </c>
      <c r="H137" s="15">
        <v>1095</v>
      </c>
      <c r="I137" s="15">
        <v>950</v>
      </c>
      <c r="J137" s="15">
        <v>0</v>
      </c>
      <c r="K137">
        <v>0</v>
      </c>
      <c r="L137" s="15">
        <v>0</v>
      </c>
      <c r="M137" s="15">
        <v>950</v>
      </c>
      <c r="N137" s="16">
        <f t="shared" si="8"/>
        <v>1.3571428571428572</v>
      </c>
      <c r="O137" s="16">
        <f t="shared" si="9"/>
        <v>1.3571428571428572</v>
      </c>
      <c r="P137" t="s">
        <v>323</v>
      </c>
    </row>
    <row r="138" spans="1:16" x14ac:dyDescent="0.25">
      <c r="A138" t="s">
        <v>80</v>
      </c>
      <c r="B138" t="s">
        <v>356</v>
      </c>
      <c r="C138" t="s">
        <v>86</v>
      </c>
      <c r="D138" t="s">
        <v>357</v>
      </c>
      <c r="E138">
        <v>814</v>
      </c>
      <c r="F138" s="14">
        <v>46101</v>
      </c>
      <c r="G138">
        <v>12</v>
      </c>
      <c r="H138" s="15">
        <v>1010</v>
      </c>
      <c r="I138" s="15">
        <v>950</v>
      </c>
      <c r="J138" s="15">
        <v>0</v>
      </c>
      <c r="K138">
        <v>0</v>
      </c>
      <c r="L138" s="15">
        <v>0</v>
      </c>
      <c r="M138" s="15">
        <v>950</v>
      </c>
      <c r="N138" s="16">
        <f t="shared" si="8"/>
        <v>1.1670761670761671</v>
      </c>
      <c r="O138" s="16">
        <f t="shared" si="9"/>
        <v>1.1670761670761671</v>
      </c>
      <c r="P138" t="s">
        <v>323</v>
      </c>
    </row>
    <row r="139" spans="1:16" x14ac:dyDescent="0.25">
      <c r="A139" t="s">
        <v>80</v>
      </c>
      <c r="B139" t="s">
        <v>358</v>
      </c>
      <c r="C139" t="s">
        <v>113</v>
      </c>
      <c r="D139" t="s">
        <v>142</v>
      </c>
      <c r="E139">
        <v>1028</v>
      </c>
      <c r="F139" s="14">
        <v>46102</v>
      </c>
      <c r="G139">
        <v>12</v>
      </c>
      <c r="H139" s="15">
        <v>1325</v>
      </c>
      <c r="I139" s="15">
        <v>1315</v>
      </c>
      <c r="J139" s="15">
        <v>0</v>
      </c>
      <c r="K139">
        <v>0</v>
      </c>
      <c r="L139" s="15">
        <v>0</v>
      </c>
      <c r="M139" s="15">
        <v>1315</v>
      </c>
      <c r="N139" s="16">
        <f t="shared" si="8"/>
        <v>1.2791828793774318</v>
      </c>
      <c r="O139" s="16">
        <f t="shared" si="9"/>
        <v>1.2791828793774318</v>
      </c>
      <c r="P139" t="s">
        <v>323</v>
      </c>
    </row>
    <row r="140" spans="1:16" x14ac:dyDescent="0.25">
      <c r="A140" t="s">
        <v>80</v>
      </c>
      <c r="B140" t="s">
        <v>359</v>
      </c>
      <c r="C140" t="s">
        <v>119</v>
      </c>
      <c r="D140" t="s">
        <v>360</v>
      </c>
      <c r="E140">
        <v>700</v>
      </c>
      <c r="F140" s="14">
        <v>46104</v>
      </c>
      <c r="G140">
        <v>12</v>
      </c>
      <c r="H140" s="15">
        <v>1110</v>
      </c>
      <c r="I140" s="15">
        <v>1100</v>
      </c>
      <c r="J140" s="15">
        <v>0</v>
      </c>
      <c r="K140">
        <v>0</v>
      </c>
      <c r="L140" s="15">
        <v>0</v>
      </c>
      <c r="M140" s="15">
        <v>1100</v>
      </c>
      <c r="N140" s="16">
        <f t="shared" si="8"/>
        <v>1.5714285714285714</v>
      </c>
      <c r="O140" s="16">
        <f t="shared" si="9"/>
        <v>1.5714285714285714</v>
      </c>
      <c r="P140" t="s">
        <v>323</v>
      </c>
    </row>
    <row r="141" spans="1:16" x14ac:dyDescent="0.25">
      <c r="A141" t="s">
        <v>80</v>
      </c>
      <c r="B141" t="s">
        <v>361</v>
      </c>
      <c r="C141" t="s">
        <v>193</v>
      </c>
      <c r="D141" t="s">
        <v>362</v>
      </c>
      <c r="E141">
        <v>980</v>
      </c>
      <c r="F141" s="14">
        <v>46106</v>
      </c>
      <c r="G141">
        <v>15</v>
      </c>
      <c r="H141" s="15">
        <v>1160</v>
      </c>
      <c r="I141" s="15">
        <v>1150</v>
      </c>
      <c r="J141" s="15">
        <v>0</v>
      </c>
      <c r="K141">
        <v>0</v>
      </c>
      <c r="L141" s="15">
        <v>0</v>
      </c>
      <c r="M141" s="15">
        <v>1150</v>
      </c>
      <c r="N141" s="16">
        <f t="shared" si="8"/>
        <v>1.1734693877551021</v>
      </c>
      <c r="O141" s="16">
        <f t="shared" si="9"/>
        <v>1.1734693877551021</v>
      </c>
      <c r="P141" t="s">
        <v>323</v>
      </c>
    </row>
    <row r="142" spans="1:16" x14ac:dyDescent="0.25">
      <c r="A142" t="s">
        <v>80</v>
      </c>
      <c r="B142" t="s">
        <v>363</v>
      </c>
      <c r="C142" t="s">
        <v>119</v>
      </c>
      <c r="D142" t="s">
        <v>364</v>
      </c>
      <c r="E142">
        <v>700</v>
      </c>
      <c r="F142" s="14">
        <v>46106</v>
      </c>
      <c r="G142">
        <v>12</v>
      </c>
      <c r="H142" s="15">
        <v>1070</v>
      </c>
      <c r="I142" s="15">
        <v>1060</v>
      </c>
      <c r="J142" s="15">
        <v>0</v>
      </c>
      <c r="K142">
        <v>0</v>
      </c>
      <c r="L142" s="15">
        <v>0</v>
      </c>
      <c r="M142" s="15">
        <v>1060</v>
      </c>
      <c r="N142" s="16">
        <f t="shared" si="8"/>
        <v>1.5142857142857142</v>
      </c>
      <c r="O142" s="16">
        <f t="shared" si="9"/>
        <v>1.5142857142857142</v>
      </c>
      <c r="P142" t="s">
        <v>323</v>
      </c>
    </row>
    <row r="143" spans="1:16" x14ac:dyDescent="0.25">
      <c r="A143" t="s">
        <v>80</v>
      </c>
      <c r="B143" t="s">
        <v>365</v>
      </c>
      <c r="C143" t="s">
        <v>119</v>
      </c>
      <c r="D143" t="s">
        <v>366</v>
      </c>
      <c r="E143">
        <v>700</v>
      </c>
      <c r="F143" s="14">
        <v>46108</v>
      </c>
      <c r="G143">
        <v>12</v>
      </c>
      <c r="H143" s="15">
        <v>1035</v>
      </c>
      <c r="I143" s="15">
        <v>975</v>
      </c>
      <c r="J143" s="15">
        <v>0</v>
      </c>
      <c r="K143">
        <v>0</v>
      </c>
      <c r="L143" s="15">
        <v>0</v>
      </c>
      <c r="M143" s="15">
        <v>975</v>
      </c>
      <c r="N143" s="16">
        <f t="shared" si="8"/>
        <v>1.3928571428571428</v>
      </c>
      <c r="O143" s="16">
        <f t="shared" si="9"/>
        <v>1.3928571428571428</v>
      </c>
      <c r="P143" t="s">
        <v>323</v>
      </c>
    </row>
    <row r="144" spans="1:16" x14ac:dyDescent="0.25">
      <c r="A144" t="s">
        <v>80</v>
      </c>
      <c r="B144" t="s">
        <v>367</v>
      </c>
      <c r="C144" t="s">
        <v>119</v>
      </c>
      <c r="D144" t="s">
        <v>124</v>
      </c>
      <c r="E144">
        <v>700</v>
      </c>
      <c r="F144" s="14">
        <v>46108</v>
      </c>
      <c r="G144">
        <v>12</v>
      </c>
      <c r="H144" s="15">
        <v>1035</v>
      </c>
      <c r="I144" s="15">
        <v>975</v>
      </c>
      <c r="J144" s="15">
        <v>0</v>
      </c>
      <c r="K144">
        <v>0</v>
      </c>
      <c r="L144" s="15">
        <v>0</v>
      </c>
      <c r="M144" s="15">
        <v>975</v>
      </c>
      <c r="N144" s="16">
        <f t="shared" si="8"/>
        <v>1.3928571428571428</v>
      </c>
      <c r="O144" s="16">
        <f t="shared" si="9"/>
        <v>1.3928571428571428</v>
      </c>
      <c r="P144" t="s">
        <v>323</v>
      </c>
    </row>
    <row r="145" spans="1:16" x14ac:dyDescent="0.25">
      <c r="A145" t="s">
        <v>80</v>
      </c>
      <c r="B145" t="s">
        <v>368</v>
      </c>
      <c r="C145" t="s">
        <v>86</v>
      </c>
      <c r="D145" t="s">
        <v>369</v>
      </c>
      <c r="E145">
        <v>814</v>
      </c>
      <c r="F145" s="14">
        <v>46108</v>
      </c>
      <c r="G145">
        <v>12</v>
      </c>
      <c r="H145" s="15">
        <v>1060</v>
      </c>
      <c r="I145" s="15">
        <v>950</v>
      </c>
      <c r="J145" s="15">
        <v>0</v>
      </c>
      <c r="K145">
        <v>0</v>
      </c>
      <c r="L145" s="15">
        <v>0</v>
      </c>
      <c r="M145" s="15">
        <v>950</v>
      </c>
      <c r="N145" s="16">
        <f t="shared" si="8"/>
        <v>1.1670761670761671</v>
      </c>
      <c r="O145" s="16">
        <f t="shared" si="9"/>
        <v>1.1670761670761671</v>
      </c>
      <c r="P145" t="s">
        <v>323</v>
      </c>
    </row>
    <row r="146" spans="1:16" x14ac:dyDescent="0.25">
      <c r="A146" t="s">
        <v>80</v>
      </c>
      <c r="B146" t="s">
        <v>370</v>
      </c>
      <c r="C146" t="s">
        <v>86</v>
      </c>
      <c r="D146" t="s">
        <v>371</v>
      </c>
      <c r="E146">
        <v>814</v>
      </c>
      <c r="F146" s="14">
        <v>46108</v>
      </c>
      <c r="G146">
        <v>12</v>
      </c>
      <c r="H146" s="15">
        <v>1005</v>
      </c>
      <c r="I146" s="15">
        <v>895</v>
      </c>
      <c r="J146" s="15">
        <v>0</v>
      </c>
      <c r="K146">
        <v>0</v>
      </c>
      <c r="L146" s="15">
        <v>0</v>
      </c>
      <c r="M146" s="15">
        <v>895</v>
      </c>
      <c r="N146" s="16">
        <f t="shared" si="8"/>
        <v>1.0995085995085996</v>
      </c>
      <c r="O146" s="16">
        <f t="shared" si="9"/>
        <v>1.0995085995085996</v>
      </c>
      <c r="P146" t="s">
        <v>323</v>
      </c>
    </row>
    <row r="147" spans="1:16" x14ac:dyDescent="0.25">
      <c r="A147" t="s">
        <v>80</v>
      </c>
      <c r="B147" t="s">
        <v>372</v>
      </c>
      <c r="C147" t="s">
        <v>182</v>
      </c>
      <c r="D147" t="s">
        <v>373</v>
      </c>
      <c r="E147">
        <v>875</v>
      </c>
      <c r="F147" s="14">
        <v>46111</v>
      </c>
      <c r="G147">
        <v>12</v>
      </c>
      <c r="H147" s="15">
        <v>1095</v>
      </c>
      <c r="I147" s="15">
        <v>985</v>
      </c>
      <c r="J147" s="15">
        <v>0</v>
      </c>
      <c r="K147">
        <v>0</v>
      </c>
      <c r="L147" s="15">
        <v>0</v>
      </c>
      <c r="M147" s="15">
        <v>985</v>
      </c>
      <c r="N147" s="16">
        <f t="shared" si="8"/>
        <v>1.1257142857142857</v>
      </c>
      <c r="O147" s="16">
        <f t="shared" si="9"/>
        <v>1.1257142857142857</v>
      </c>
      <c r="P147" t="s">
        <v>323</v>
      </c>
    </row>
    <row r="148" spans="1:16" x14ac:dyDescent="0.25">
      <c r="A148" t="s">
        <v>80</v>
      </c>
      <c r="B148" t="s">
        <v>374</v>
      </c>
      <c r="C148" t="s">
        <v>95</v>
      </c>
      <c r="D148" t="s">
        <v>375</v>
      </c>
      <c r="E148">
        <v>930</v>
      </c>
      <c r="F148" s="14">
        <v>46113</v>
      </c>
      <c r="G148">
        <v>15</v>
      </c>
      <c r="H148" s="15">
        <v>1285</v>
      </c>
      <c r="I148" s="15">
        <v>1025</v>
      </c>
      <c r="J148" s="15">
        <v>0</v>
      </c>
      <c r="K148">
        <v>0</v>
      </c>
      <c r="L148" s="15">
        <v>0</v>
      </c>
      <c r="M148" s="15">
        <v>1025</v>
      </c>
      <c r="N148" s="16">
        <f t="shared" si="8"/>
        <v>1.1021505376344085</v>
      </c>
      <c r="O148" s="16">
        <f t="shared" si="9"/>
        <v>1.1021505376344085</v>
      </c>
      <c r="P148" t="s">
        <v>376</v>
      </c>
    </row>
    <row r="149" spans="1:16" x14ac:dyDescent="0.25">
      <c r="A149" t="s">
        <v>80</v>
      </c>
      <c r="B149" t="s">
        <v>377</v>
      </c>
      <c r="C149" t="s">
        <v>86</v>
      </c>
      <c r="D149" t="s">
        <v>378</v>
      </c>
      <c r="E149">
        <v>814</v>
      </c>
      <c r="F149" s="14">
        <v>46113</v>
      </c>
      <c r="G149">
        <v>12</v>
      </c>
      <c r="H149" s="15">
        <v>1380</v>
      </c>
      <c r="I149" s="15">
        <v>1070</v>
      </c>
      <c r="J149" s="15">
        <v>0</v>
      </c>
      <c r="K149">
        <v>0</v>
      </c>
      <c r="L149" s="15">
        <v>0</v>
      </c>
      <c r="M149" s="15">
        <v>1070</v>
      </c>
      <c r="N149" s="16">
        <f t="shared" si="8"/>
        <v>1.3144963144963144</v>
      </c>
      <c r="O149" s="16">
        <f t="shared" si="9"/>
        <v>1.3144963144963144</v>
      </c>
      <c r="P149" t="s">
        <v>376</v>
      </c>
    </row>
    <row r="150" spans="1:16" x14ac:dyDescent="0.25">
      <c r="A150" t="s">
        <v>80</v>
      </c>
      <c r="B150" t="s">
        <v>379</v>
      </c>
      <c r="C150" t="s">
        <v>92</v>
      </c>
      <c r="D150" t="s">
        <v>101</v>
      </c>
      <c r="E150">
        <v>657</v>
      </c>
      <c r="F150" s="14">
        <v>46113</v>
      </c>
      <c r="G150">
        <v>15</v>
      </c>
      <c r="H150" s="15">
        <v>1219</v>
      </c>
      <c r="I150" s="15">
        <v>1059</v>
      </c>
      <c r="J150" s="15">
        <v>0</v>
      </c>
      <c r="K150">
        <v>0</v>
      </c>
      <c r="L150" s="15">
        <v>0</v>
      </c>
      <c r="M150" s="15">
        <v>1059</v>
      </c>
      <c r="N150" s="16">
        <f t="shared" si="8"/>
        <v>1.6118721461187215</v>
      </c>
      <c r="O150" s="16">
        <f t="shared" si="9"/>
        <v>1.6118721461187215</v>
      </c>
      <c r="P150" t="s">
        <v>376</v>
      </c>
    </row>
    <row r="151" spans="1:16" x14ac:dyDescent="0.25">
      <c r="A151" t="s">
        <v>80</v>
      </c>
      <c r="B151" t="s">
        <v>380</v>
      </c>
      <c r="C151" t="s">
        <v>95</v>
      </c>
      <c r="D151" t="s">
        <v>381</v>
      </c>
      <c r="E151">
        <v>930</v>
      </c>
      <c r="F151" s="14">
        <v>46114</v>
      </c>
      <c r="G151">
        <v>12</v>
      </c>
      <c r="H151" s="15">
        <v>1355</v>
      </c>
      <c r="I151" s="15">
        <v>1095</v>
      </c>
      <c r="J151" s="15">
        <v>0</v>
      </c>
      <c r="K151">
        <v>0</v>
      </c>
      <c r="L151" s="15">
        <v>0</v>
      </c>
      <c r="M151" s="15">
        <v>1095</v>
      </c>
      <c r="N151" s="16">
        <f t="shared" si="8"/>
        <v>1.1774193548387097</v>
      </c>
      <c r="O151" s="16">
        <f t="shared" si="9"/>
        <v>1.1774193548387097</v>
      </c>
      <c r="P151" t="s">
        <v>376</v>
      </c>
    </row>
    <row r="152" spans="1:16" x14ac:dyDescent="0.25">
      <c r="A152" t="s">
        <v>80</v>
      </c>
      <c r="B152" t="s">
        <v>382</v>
      </c>
      <c r="C152" t="s">
        <v>119</v>
      </c>
      <c r="D152" t="s">
        <v>383</v>
      </c>
      <c r="E152">
        <v>700</v>
      </c>
      <c r="F152" s="14">
        <v>46114</v>
      </c>
      <c r="G152">
        <v>12</v>
      </c>
      <c r="H152" s="15">
        <v>1160</v>
      </c>
      <c r="I152" s="15">
        <v>1000</v>
      </c>
      <c r="J152" s="15">
        <v>0</v>
      </c>
      <c r="K152">
        <v>0</v>
      </c>
      <c r="L152" s="15">
        <v>0</v>
      </c>
      <c r="M152" s="15">
        <v>1000</v>
      </c>
      <c r="N152" s="16">
        <f t="shared" si="8"/>
        <v>1.4285714285714286</v>
      </c>
      <c r="O152" s="16">
        <f t="shared" si="9"/>
        <v>1.4285714285714286</v>
      </c>
      <c r="P152" t="s">
        <v>376</v>
      </c>
    </row>
    <row r="153" spans="1:16" x14ac:dyDescent="0.25">
      <c r="A153" t="s">
        <v>80</v>
      </c>
      <c r="B153" t="s">
        <v>384</v>
      </c>
      <c r="C153" t="s">
        <v>193</v>
      </c>
      <c r="D153" t="s">
        <v>385</v>
      </c>
      <c r="E153">
        <v>980</v>
      </c>
      <c r="F153" s="14">
        <v>46116</v>
      </c>
      <c r="G153">
        <v>12</v>
      </c>
      <c r="H153" s="15">
        <v>1470</v>
      </c>
      <c r="I153" s="15">
        <v>1210</v>
      </c>
      <c r="J153" s="15">
        <v>0</v>
      </c>
      <c r="K153">
        <v>0</v>
      </c>
      <c r="L153" s="15">
        <v>0</v>
      </c>
      <c r="M153" s="15">
        <v>1210</v>
      </c>
      <c r="N153" s="16">
        <f t="shared" si="8"/>
        <v>1.2346938775510203</v>
      </c>
      <c r="O153" s="16">
        <f t="shared" si="9"/>
        <v>1.2346938775510203</v>
      </c>
      <c r="P153" t="s">
        <v>376</v>
      </c>
    </row>
    <row r="154" spans="1:16" x14ac:dyDescent="0.25">
      <c r="A154" t="s">
        <v>80</v>
      </c>
      <c r="B154" t="s">
        <v>386</v>
      </c>
      <c r="C154" t="s">
        <v>89</v>
      </c>
      <c r="D154" t="s">
        <v>136</v>
      </c>
      <c r="E154">
        <v>500</v>
      </c>
      <c r="F154" s="14">
        <v>46116</v>
      </c>
      <c r="G154">
        <v>12</v>
      </c>
      <c r="H154" s="15">
        <v>940</v>
      </c>
      <c r="I154" s="15">
        <v>780</v>
      </c>
      <c r="J154" s="15">
        <v>0</v>
      </c>
      <c r="K154">
        <v>0</v>
      </c>
      <c r="L154" s="15">
        <v>0</v>
      </c>
      <c r="M154" s="15">
        <v>780</v>
      </c>
      <c r="N154" s="16">
        <f t="shared" si="8"/>
        <v>1.56</v>
      </c>
      <c r="O154" s="16">
        <f t="shared" si="9"/>
        <v>1.56</v>
      </c>
      <c r="P154" t="s">
        <v>376</v>
      </c>
    </row>
    <row r="155" spans="1:16" x14ac:dyDescent="0.25">
      <c r="A155" t="s">
        <v>80</v>
      </c>
      <c r="B155" t="s">
        <v>387</v>
      </c>
      <c r="C155" t="s">
        <v>86</v>
      </c>
      <c r="D155" t="s">
        <v>388</v>
      </c>
      <c r="E155">
        <v>814</v>
      </c>
      <c r="F155" s="14">
        <v>46121</v>
      </c>
      <c r="G155">
        <v>15</v>
      </c>
      <c r="H155" s="15">
        <v>1290</v>
      </c>
      <c r="I155" s="15">
        <v>1010</v>
      </c>
      <c r="J155" s="15">
        <v>0</v>
      </c>
      <c r="K155">
        <v>0</v>
      </c>
      <c r="L155" s="15">
        <v>0</v>
      </c>
      <c r="M155" s="15">
        <v>1010</v>
      </c>
      <c r="N155" s="16">
        <f t="shared" si="8"/>
        <v>1.2407862407862409</v>
      </c>
      <c r="O155" s="16">
        <f t="shared" si="9"/>
        <v>1.2407862407862409</v>
      </c>
      <c r="P155" t="s">
        <v>376</v>
      </c>
    </row>
    <row r="156" spans="1:16" x14ac:dyDescent="0.25">
      <c r="A156" t="s">
        <v>80</v>
      </c>
      <c r="B156" t="s">
        <v>389</v>
      </c>
      <c r="C156" t="s">
        <v>82</v>
      </c>
      <c r="D156" t="s">
        <v>390</v>
      </c>
      <c r="E156">
        <v>1130</v>
      </c>
      <c r="F156" s="14">
        <v>46122</v>
      </c>
      <c r="G156">
        <v>15</v>
      </c>
      <c r="H156" s="15">
        <v>1430</v>
      </c>
      <c r="I156" s="15">
        <v>1280</v>
      </c>
      <c r="J156" s="15">
        <v>0</v>
      </c>
      <c r="K156">
        <v>0</v>
      </c>
      <c r="L156" s="15">
        <v>0</v>
      </c>
      <c r="M156" s="15">
        <v>1280</v>
      </c>
      <c r="N156" s="16">
        <f t="shared" si="8"/>
        <v>1.1327433628318584</v>
      </c>
      <c r="O156" s="16">
        <f t="shared" si="9"/>
        <v>1.1327433628318584</v>
      </c>
      <c r="P156" t="s">
        <v>376</v>
      </c>
    </row>
    <row r="157" spans="1:16" x14ac:dyDescent="0.25">
      <c r="A157" t="s">
        <v>80</v>
      </c>
      <c r="B157" t="s">
        <v>391</v>
      </c>
      <c r="C157" t="s">
        <v>82</v>
      </c>
      <c r="D157" t="s">
        <v>392</v>
      </c>
      <c r="E157">
        <v>1130</v>
      </c>
      <c r="F157" s="14">
        <v>46122</v>
      </c>
      <c r="G157">
        <v>15</v>
      </c>
      <c r="H157" s="15">
        <v>1465</v>
      </c>
      <c r="I157" s="15">
        <v>1365</v>
      </c>
      <c r="J157" s="15">
        <v>0</v>
      </c>
      <c r="K157">
        <v>0</v>
      </c>
      <c r="L157" s="15">
        <v>0</v>
      </c>
      <c r="M157" s="15">
        <v>1365</v>
      </c>
      <c r="N157" s="16">
        <f t="shared" si="8"/>
        <v>1.2079646017699115</v>
      </c>
      <c r="O157" s="16">
        <f t="shared" si="9"/>
        <v>1.2079646017699115</v>
      </c>
      <c r="P157" t="s">
        <v>376</v>
      </c>
    </row>
    <row r="158" spans="1:16" x14ac:dyDescent="0.25">
      <c r="A158" t="s">
        <v>80</v>
      </c>
      <c r="B158" t="s">
        <v>393</v>
      </c>
      <c r="C158" t="s">
        <v>82</v>
      </c>
      <c r="D158" t="s">
        <v>394</v>
      </c>
      <c r="E158">
        <v>1130</v>
      </c>
      <c r="F158" s="14">
        <v>46123</v>
      </c>
      <c r="G158">
        <v>12</v>
      </c>
      <c r="H158" s="15">
        <v>1545</v>
      </c>
      <c r="I158" s="15">
        <v>1545</v>
      </c>
      <c r="J158" s="15">
        <v>0</v>
      </c>
      <c r="K158">
        <v>0</v>
      </c>
      <c r="L158" s="15">
        <v>0</v>
      </c>
      <c r="M158" s="15">
        <v>1545</v>
      </c>
      <c r="N158" s="16">
        <f t="shared" si="8"/>
        <v>1.3672566371681416</v>
      </c>
      <c r="O158" s="16">
        <f t="shared" si="9"/>
        <v>1.3672566371681416</v>
      </c>
      <c r="P158" t="s">
        <v>376</v>
      </c>
    </row>
    <row r="159" spans="1:16" x14ac:dyDescent="0.25">
      <c r="A159" t="s">
        <v>80</v>
      </c>
      <c r="B159" t="s">
        <v>395</v>
      </c>
      <c r="C159" t="s">
        <v>86</v>
      </c>
      <c r="D159" t="s">
        <v>244</v>
      </c>
      <c r="E159">
        <v>814</v>
      </c>
      <c r="F159" s="14">
        <v>46126</v>
      </c>
      <c r="G159">
        <v>12</v>
      </c>
      <c r="H159" s="15">
        <v>1285</v>
      </c>
      <c r="I159" s="15">
        <v>1025</v>
      </c>
      <c r="J159" s="15">
        <v>0</v>
      </c>
      <c r="K159">
        <v>0</v>
      </c>
      <c r="L159" s="15">
        <v>0</v>
      </c>
      <c r="M159" s="15">
        <v>1025</v>
      </c>
      <c r="N159" s="16">
        <f t="shared" si="8"/>
        <v>1.2592137592137591</v>
      </c>
      <c r="O159" s="16">
        <f t="shared" si="9"/>
        <v>1.2592137592137591</v>
      </c>
      <c r="P159" t="s">
        <v>376</v>
      </c>
    </row>
    <row r="160" spans="1:16" x14ac:dyDescent="0.25">
      <c r="A160" t="s">
        <v>80</v>
      </c>
      <c r="B160" t="s">
        <v>396</v>
      </c>
      <c r="C160" t="s">
        <v>92</v>
      </c>
      <c r="D160" t="s">
        <v>397</v>
      </c>
      <c r="E160">
        <v>657</v>
      </c>
      <c r="F160" s="14">
        <v>46129</v>
      </c>
      <c r="G160">
        <v>12</v>
      </c>
      <c r="H160" s="15">
        <v>1144</v>
      </c>
      <c r="I160" s="15">
        <v>934</v>
      </c>
      <c r="J160" s="15">
        <v>0</v>
      </c>
      <c r="K160">
        <v>0</v>
      </c>
      <c r="L160" s="15">
        <v>0</v>
      </c>
      <c r="M160" s="15">
        <v>934</v>
      </c>
      <c r="N160" s="16">
        <f t="shared" si="8"/>
        <v>1.421613394216134</v>
      </c>
      <c r="O160" s="16">
        <f t="shared" si="9"/>
        <v>1.421613394216134</v>
      </c>
      <c r="P160" t="s">
        <v>376</v>
      </c>
    </row>
    <row r="161" spans="1:16" x14ac:dyDescent="0.25">
      <c r="A161" t="s">
        <v>80</v>
      </c>
      <c r="B161" t="s">
        <v>398</v>
      </c>
      <c r="C161" t="s">
        <v>86</v>
      </c>
      <c r="D161" t="s">
        <v>191</v>
      </c>
      <c r="E161">
        <v>814</v>
      </c>
      <c r="F161" s="14">
        <v>46134</v>
      </c>
      <c r="G161">
        <v>12</v>
      </c>
      <c r="H161" s="15">
        <v>1335</v>
      </c>
      <c r="I161" s="15">
        <v>1275</v>
      </c>
      <c r="J161" s="15">
        <v>0</v>
      </c>
      <c r="K161">
        <v>0</v>
      </c>
      <c r="L161" s="15">
        <v>0</v>
      </c>
      <c r="M161" s="15">
        <v>1275</v>
      </c>
      <c r="N161" s="16">
        <f t="shared" si="8"/>
        <v>1.5663390663390664</v>
      </c>
      <c r="O161" s="16">
        <f t="shared" si="9"/>
        <v>1.5663390663390664</v>
      </c>
      <c r="P161" t="s">
        <v>376</v>
      </c>
    </row>
    <row r="162" spans="1:16" x14ac:dyDescent="0.25">
      <c r="A162" t="s">
        <v>80</v>
      </c>
      <c r="B162" t="s">
        <v>399</v>
      </c>
      <c r="C162" t="s">
        <v>82</v>
      </c>
      <c r="D162" t="s">
        <v>400</v>
      </c>
      <c r="E162">
        <v>1130</v>
      </c>
      <c r="F162" s="14">
        <v>46137</v>
      </c>
      <c r="G162">
        <v>12</v>
      </c>
      <c r="H162" s="15">
        <v>1555</v>
      </c>
      <c r="I162" s="15">
        <v>1230</v>
      </c>
      <c r="J162" s="15">
        <v>0</v>
      </c>
      <c r="K162">
        <v>0</v>
      </c>
      <c r="L162" s="15">
        <v>0</v>
      </c>
      <c r="M162" s="15">
        <v>1230</v>
      </c>
      <c r="N162" s="16">
        <f t="shared" ref="N162:N183" si="10">IFERROR(I162/E162,0)</f>
        <v>1.0884955752212389</v>
      </c>
      <c r="O162" s="16">
        <f t="shared" ref="O162:O183" si="11">IFERROR(M162/E162,0)</f>
        <v>1.0884955752212389</v>
      </c>
      <c r="P162" t="s">
        <v>376</v>
      </c>
    </row>
    <row r="163" spans="1:16" x14ac:dyDescent="0.25">
      <c r="A163" t="s">
        <v>80</v>
      </c>
      <c r="B163" t="s">
        <v>401</v>
      </c>
      <c r="C163" t="s">
        <v>86</v>
      </c>
      <c r="D163" t="s">
        <v>402</v>
      </c>
      <c r="E163">
        <v>814</v>
      </c>
      <c r="F163" s="14">
        <v>46142</v>
      </c>
      <c r="G163">
        <v>12</v>
      </c>
      <c r="H163" s="15">
        <v>1320</v>
      </c>
      <c r="I163" s="15">
        <v>1040</v>
      </c>
      <c r="J163" s="15">
        <v>0</v>
      </c>
      <c r="K163">
        <v>0</v>
      </c>
      <c r="L163" s="15">
        <v>0</v>
      </c>
      <c r="M163" s="15">
        <v>1040</v>
      </c>
      <c r="N163" s="16">
        <f t="shared" si="10"/>
        <v>1.2776412776412776</v>
      </c>
      <c r="O163" s="16">
        <f t="shared" si="11"/>
        <v>1.2776412776412776</v>
      </c>
      <c r="P163" t="s">
        <v>376</v>
      </c>
    </row>
    <row r="164" spans="1:16" x14ac:dyDescent="0.25">
      <c r="A164" t="s">
        <v>80</v>
      </c>
      <c r="B164" t="s">
        <v>403</v>
      </c>
      <c r="C164" t="s">
        <v>119</v>
      </c>
      <c r="D164" t="s">
        <v>404</v>
      </c>
      <c r="E164">
        <v>700</v>
      </c>
      <c r="F164" s="14">
        <v>46143</v>
      </c>
      <c r="G164">
        <v>12</v>
      </c>
      <c r="H164" s="15">
        <v>1210</v>
      </c>
      <c r="I164" s="15">
        <v>1210</v>
      </c>
      <c r="J164" s="15">
        <v>0</v>
      </c>
      <c r="K164">
        <v>0</v>
      </c>
      <c r="L164" s="15">
        <v>0</v>
      </c>
      <c r="M164" s="15">
        <v>1210</v>
      </c>
      <c r="N164" s="16">
        <f t="shared" si="10"/>
        <v>1.7285714285714286</v>
      </c>
      <c r="O164" s="16">
        <f t="shared" si="11"/>
        <v>1.7285714285714286</v>
      </c>
      <c r="P164" t="s">
        <v>405</v>
      </c>
    </row>
    <row r="165" spans="1:16" x14ac:dyDescent="0.25">
      <c r="A165" t="s">
        <v>80</v>
      </c>
      <c r="B165" t="s">
        <v>406</v>
      </c>
      <c r="C165" t="s">
        <v>113</v>
      </c>
      <c r="D165" t="s">
        <v>114</v>
      </c>
      <c r="E165">
        <v>1028</v>
      </c>
      <c r="F165" s="14">
        <v>46144</v>
      </c>
      <c r="G165">
        <v>12</v>
      </c>
      <c r="H165" s="15">
        <v>1582</v>
      </c>
      <c r="I165" s="15">
        <v>1662</v>
      </c>
      <c r="J165" s="15">
        <v>0</v>
      </c>
      <c r="K165">
        <v>0</v>
      </c>
      <c r="L165" s="15">
        <v>0</v>
      </c>
      <c r="M165" s="15">
        <v>1662</v>
      </c>
      <c r="N165" s="16">
        <f t="shared" si="10"/>
        <v>1.6167315175097277</v>
      </c>
      <c r="O165" s="16">
        <f t="shared" si="11"/>
        <v>1.6167315175097277</v>
      </c>
      <c r="P165" t="s">
        <v>405</v>
      </c>
    </row>
    <row r="166" spans="1:16" x14ac:dyDescent="0.25">
      <c r="A166" t="s">
        <v>80</v>
      </c>
      <c r="B166" t="s">
        <v>407</v>
      </c>
      <c r="C166" t="s">
        <v>98</v>
      </c>
      <c r="D166" t="s">
        <v>103</v>
      </c>
      <c r="E166">
        <v>550</v>
      </c>
      <c r="F166" s="14">
        <v>46145</v>
      </c>
      <c r="G166">
        <v>12</v>
      </c>
      <c r="H166" s="15">
        <v>1176</v>
      </c>
      <c r="I166" s="15">
        <v>885</v>
      </c>
      <c r="J166" s="15">
        <v>0</v>
      </c>
      <c r="K166">
        <v>0</v>
      </c>
      <c r="L166" s="15">
        <v>0</v>
      </c>
      <c r="M166" s="15">
        <v>885</v>
      </c>
      <c r="N166" s="16">
        <f t="shared" si="10"/>
        <v>1.6090909090909091</v>
      </c>
      <c r="O166" s="16">
        <f t="shared" si="11"/>
        <v>1.6090909090909091</v>
      </c>
      <c r="P166" t="s">
        <v>405</v>
      </c>
    </row>
    <row r="167" spans="1:16" x14ac:dyDescent="0.25">
      <c r="A167" t="s">
        <v>80</v>
      </c>
      <c r="B167" t="s">
        <v>408</v>
      </c>
      <c r="C167" t="s">
        <v>82</v>
      </c>
      <c r="D167" t="s">
        <v>409</v>
      </c>
      <c r="E167">
        <v>1130</v>
      </c>
      <c r="F167" s="14">
        <v>46150</v>
      </c>
      <c r="G167">
        <v>12</v>
      </c>
      <c r="H167" s="15">
        <v>1580</v>
      </c>
      <c r="I167" s="15">
        <v>1580</v>
      </c>
      <c r="J167" s="15">
        <v>0</v>
      </c>
      <c r="K167">
        <v>0</v>
      </c>
      <c r="L167" s="15">
        <v>0</v>
      </c>
      <c r="M167" s="15">
        <v>1580</v>
      </c>
      <c r="N167" s="16">
        <f t="shared" si="10"/>
        <v>1.3982300884955752</v>
      </c>
      <c r="O167" s="16">
        <f t="shared" si="11"/>
        <v>1.3982300884955752</v>
      </c>
      <c r="P167" t="s">
        <v>405</v>
      </c>
    </row>
    <row r="168" spans="1:16" x14ac:dyDescent="0.25">
      <c r="A168" t="s">
        <v>80</v>
      </c>
      <c r="B168" t="s">
        <v>410</v>
      </c>
      <c r="C168" t="s">
        <v>193</v>
      </c>
      <c r="D168" t="s">
        <v>411</v>
      </c>
      <c r="E168">
        <v>980</v>
      </c>
      <c r="F168" s="14">
        <v>46158</v>
      </c>
      <c r="G168">
        <v>12</v>
      </c>
      <c r="H168" s="15">
        <v>1290</v>
      </c>
      <c r="I168" s="15">
        <v>1140</v>
      </c>
      <c r="J168" s="15">
        <v>0</v>
      </c>
      <c r="K168">
        <v>0</v>
      </c>
      <c r="L168" s="15">
        <v>0</v>
      </c>
      <c r="M168" s="15">
        <v>1140</v>
      </c>
      <c r="N168" s="16">
        <f t="shared" si="10"/>
        <v>1.1632653061224489</v>
      </c>
      <c r="O168" s="16">
        <f t="shared" si="11"/>
        <v>1.1632653061224489</v>
      </c>
      <c r="P168" t="s">
        <v>405</v>
      </c>
    </row>
    <row r="169" spans="1:16" x14ac:dyDescent="0.25">
      <c r="A169" t="s">
        <v>80</v>
      </c>
      <c r="B169" t="s">
        <v>412</v>
      </c>
      <c r="C169" t="s">
        <v>119</v>
      </c>
      <c r="D169" t="s">
        <v>413</v>
      </c>
      <c r="E169">
        <v>700</v>
      </c>
      <c r="F169" s="14">
        <v>46160</v>
      </c>
      <c r="G169">
        <v>12</v>
      </c>
      <c r="H169" s="15">
        <v>1245</v>
      </c>
      <c r="I169" s="15">
        <v>1010</v>
      </c>
      <c r="J169" s="15">
        <v>0</v>
      </c>
      <c r="K169">
        <v>0</v>
      </c>
      <c r="L169" s="15">
        <v>0</v>
      </c>
      <c r="M169" s="15">
        <v>1010</v>
      </c>
      <c r="N169" s="16">
        <f t="shared" si="10"/>
        <v>1.4428571428571428</v>
      </c>
      <c r="O169" s="16">
        <f t="shared" si="11"/>
        <v>1.4428571428571428</v>
      </c>
      <c r="P169" t="s">
        <v>405</v>
      </c>
    </row>
    <row r="170" spans="1:16" x14ac:dyDescent="0.25">
      <c r="A170" t="s">
        <v>80</v>
      </c>
      <c r="B170" t="s">
        <v>414</v>
      </c>
      <c r="C170" t="s">
        <v>119</v>
      </c>
      <c r="D170" t="s">
        <v>415</v>
      </c>
      <c r="E170">
        <v>700</v>
      </c>
      <c r="F170" s="14">
        <v>46164</v>
      </c>
      <c r="G170">
        <v>12</v>
      </c>
      <c r="H170" s="15">
        <v>1285</v>
      </c>
      <c r="I170" s="15">
        <v>1285</v>
      </c>
      <c r="J170" s="15">
        <v>0</v>
      </c>
      <c r="K170">
        <v>0</v>
      </c>
      <c r="L170" s="15">
        <v>0</v>
      </c>
      <c r="M170" s="15">
        <v>1285</v>
      </c>
      <c r="N170" s="16">
        <f t="shared" si="10"/>
        <v>1.8357142857142856</v>
      </c>
      <c r="O170" s="16">
        <f t="shared" si="11"/>
        <v>1.8357142857142856</v>
      </c>
      <c r="P170" t="s">
        <v>405</v>
      </c>
    </row>
    <row r="171" spans="1:16" x14ac:dyDescent="0.25">
      <c r="A171" t="s">
        <v>80</v>
      </c>
      <c r="B171" t="s">
        <v>416</v>
      </c>
      <c r="C171" t="s">
        <v>82</v>
      </c>
      <c r="D171" t="s">
        <v>417</v>
      </c>
      <c r="E171">
        <v>1130</v>
      </c>
      <c r="F171" s="14">
        <v>46174</v>
      </c>
      <c r="G171">
        <v>12</v>
      </c>
      <c r="H171" s="15">
        <v>1555</v>
      </c>
      <c r="I171" s="15">
        <v>1555</v>
      </c>
      <c r="J171" s="15">
        <v>0</v>
      </c>
      <c r="K171">
        <v>0</v>
      </c>
      <c r="L171" s="15">
        <v>0</v>
      </c>
      <c r="M171" s="15">
        <v>1555</v>
      </c>
      <c r="N171" s="16">
        <f t="shared" si="10"/>
        <v>1.3761061946902655</v>
      </c>
      <c r="O171" s="16">
        <f t="shared" si="11"/>
        <v>1.3761061946902655</v>
      </c>
      <c r="P171" t="s">
        <v>418</v>
      </c>
    </row>
    <row r="172" spans="1:16" x14ac:dyDescent="0.25">
      <c r="A172" t="s">
        <v>80</v>
      </c>
      <c r="B172" t="s">
        <v>419</v>
      </c>
      <c r="C172" t="s">
        <v>95</v>
      </c>
      <c r="D172" t="s">
        <v>420</v>
      </c>
      <c r="E172">
        <v>930</v>
      </c>
      <c r="F172" s="14">
        <v>46179</v>
      </c>
      <c r="G172">
        <v>13</v>
      </c>
      <c r="H172" s="15">
        <v>1303</v>
      </c>
      <c r="I172" s="15">
        <v>1303</v>
      </c>
      <c r="J172" s="15">
        <v>1600</v>
      </c>
      <c r="K172">
        <v>1.2279355333844999</v>
      </c>
      <c r="L172" s="15">
        <v>1600</v>
      </c>
      <c r="M172" s="15">
        <v>1179.9230769230801</v>
      </c>
      <c r="N172" s="16">
        <f t="shared" si="10"/>
        <v>1.4010752688172043</v>
      </c>
      <c r="O172" s="16">
        <f t="shared" si="11"/>
        <v>1.2687344913151399</v>
      </c>
      <c r="P172" t="s">
        <v>418</v>
      </c>
    </row>
    <row r="173" spans="1:16" x14ac:dyDescent="0.25">
      <c r="A173" t="s">
        <v>80</v>
      </c>
      <c r="B173" t="s">
        <v>421</v>
      </c>
      <c r="C173" t="s">
        <v>98</v>
      </c>
      <c r="D173" t="s">
        <v>422</v>
      </c>
      <c r="E173">
        <v>550</v>
      </c>
      <c r="F173" s="14">
        <v>46179</v>
      </c>
      <c r="G173">
        <v>12</v>
      </c>
      <c r="H173" s="15">
        <v>1181</v>
      </c>
      <c r="I173" s="15">
        <v>1181</v>
      </c>
      <c r="J173" s="15">
        <v>0</v>
      </c>
      <c r="K173">
        <v>0</v>
      </c>
      <c r="L173" s="15">
        <v>0</v>
      </c>
      <c r="M173" s="15">
        <v>1181</v>
      </c>
      <c r="N173" s="16">
        <f t="shared" si="10"/>
        <v>2.1472727272727274</v>
      </c>
      <c r="O173" s="16">
        <f t="shared" si="11"/>
        <v>2.1472727272727274</v>
      </c>
      <c r="P173" t="s">
        <v>418</v>
      </c>
    </row>
    <row r="174" spans="1:16" x14ac:dyDescent="0.25">
      <c r="A174" t="s">
        <v>80</v>
      </c>
      <c r="B174" t="s">
        <v>423</v>
      </c>
      <c r="C174" t="s">
        <v>182</v>
      </c>
      <c r="D174" t="s">
        <v>424</v>
      </c>
      <c r="E174">
        <v>875</v>
      </c>
      <c r="F174" s="14">
        <v>46179</v>
      </c>
      <c r="G174">
        <v>12</v>
      </c>
      <c r="H174" s="15">
        <v>1364</v>
      </c>
      <c r="I174" s="15">
        <v>1075</v>
      </c>
      <c r="J174" s="15">
        <v>0</v>
      </c>
      <c r="K174">
        <v>0</v>
      </c>
      <c r="L174" s="15">
        <v>0</v>
      </c>
      <c r="M174" s="15">
        <v>1075</v>
      </c>
      <c r="N174" s="16">
        <f t="shared" si="10"/>
        <v>1.2285714285714286</v>
      </c>
      <c r="O174" s="16">
        <f t="shared" si="11"/>
        <v>1.2285714285714286</v>
      </c>
      <c r="P174" t="s">
        <v>418</v>
      </c>
    </row>
    <row r="175" spans="1:16" x14ac:dyDescent="0.25">
      <c r="A175" t="s">
        <v>80</v>
      </c>
      <c r="B175" t="s">
        <v>425</v>
      </c>
      <c r="C175" t="s">
        <v>95</v>
      </c>
      <c r="D175" t="s">
        <v>426</v>
      </c>
      <c r="E175">
        <v>930</v>
      </c>
      <c r="F175" s="14">
        <v>46183</v>
      </c>
      <c r="G175">
        <v>15</v>
      </c>
      <c r="H175" s="15">
        <v>1218</v>
      </c>
      <c r="I175" s="15">
        <v>990</v>
      </c>
      <c r="J175" s="15">
        <v>0</v>
      </c>
      <c r="K175">
        <v>0</v>
      </c>
      <c r="L175" s="15">
        <v>0</v>
      </c>
      <c r="M175" s="15">
        <v>990</v>
      </c>
      <c r="N175" s="16">
        <f t="shared" si="10"/>
        <v>1.064516129032258</v>
      </c>
      <c r="O175" s="16">
        <f t="shared" si="11"/>
        <v>1.064516129032258</v>
      </c>
      <c r="P175" t="s">
        <v>418</v>
      </c>
    </row>
    <row r="176" spans="1:16" x14ac:dyDescent="0.25">
      <c r="A176" t="s">
        <v>80</v>
      </c>
      <c r="B176" t="s">
        <v>427</v>
      </c>
      <c r="C176" t="s">
        <v>89</v>
      </c>
      <c r="D176" t="s">
        <v>428</v>
      </c>
      <c r="E176">
        <v>500</v>
      </c>
      <c r="F176" s="14">
        <v>46189</v>
      </c>
      <c r="G176">
        <v>12</v>
      </c>
      <c r="H176" s="15">
        <v>1050</v>
      </c>
      <c r="I176" s="15">
        <v>1050</v>
      </c>
      <c r="J176" s="15">
        <v>0</v>
      </c>
      <c r="K176">
        <v>0</v>
      </c>
      <c r="L176" s="15">
        <v>0</v>
      </c>
      <c r="M176" s="15">
        <v>1050</v>
      </c>
      <c r="N176" s="16">
        <f t="shared" si="10"/>
        <v>2.1</v>
      </c>
      <c r="O176" s="16">
        <f t="shared" si="11"/>
        <v>2.1</v>
      </c>
      <c r="P176" t="s">
        <v>418</v>
      </c>
    </row>
    <row r="177" spans="1:16" x14ac:dyDescent="0.25">
      <c r="A177" t="s">
        <v>80</v>
      </c>
      <c r="B177" t="s">
        <v>429</v>
      </c>
      <c r="C177" t="s">
        <v>92</v>
      </c>
      <c r="D177" t="s">
        <v>229</v>
      </c>
      <c r="E177">
        <v>657</v>
      </c>
      <c r="F177" s="14">
        <v>46190</v>
      </c>
      <c r="G177">
        <v>12</v>
      </c>
      <c r="H177" s="15">
        <v>1039</v>
      </c>
      <c r="I177" s="15">
        <v>1039</v>
      </c>
      <c r="J177" s="15">
        <v>0</v>
      </c>
      <c r="K177">
        <v>0</v>
      </c>
      <c r="L177" s="15">
        <v>0</v>
      </c>
      <c r="M177" s="15">
        <v>1039</v>
      </c>
      <c r="N177" s="16">
        <f t="shared" si="10"/>
        <v>1.5814307458143075</v>
      </c>
      <c r="O177" s="16">
        <f t="shared" si="11"/>
        <v>1.5814307458143075</v>
      </c>
      <c r="P177" t="s">
        <v>418</v>
      </c>
    </row>
    <row r="178" spans="1:16" x14ac:dyDescent="0.25">
      <c r="A178" t="s">
        <v>80</v>
      </c>
      <c r="B178" t="s">
        <v>430</v>
      </c>
      <c r="C178" t="s">
        <v>89</v>
      </c>
      <c r="D178" t="s">
        <v>431</v>
      </c>
      <c r="E178">
        <v>500</v>
      </c>
      <c r="F178" s="14">
        <v>46191</v>
      </c>
      <c r="G178">
        <v>12</v>
      </c>
      <c r="H178" s="15">
        <v>1010</v>
      </c>
      <c r="I178" s="15">
        <v>1010</v>
      </c>
      <c r="J178" s="15">
        <v>0</v>
      </c>
      <c r="K178">
        <v>0</v>
      </c>
      <c r="L178" s="15">
        <v>0</v>
      </c>
      <c r="M178" s="15">
        <v>1010</v>
      </c>
      <c r="N178" s="16">
        <f t="shared" si="10"/>
        <v>2.02</v>
      </c>
      <c r="O178" s="16">
        <f t="shared" si="11"/>
        <v>2.02</v>
      </c>
      <c r="P178" t="s">
        <v>418</v>
      </c>
    </row>
    <row r="179" spans="1:16" x14ac:dyDescent="0.25">
      <c r="A179" t="s">
        <v>80</v>
      </c>
      <c r="B179" t="s">
        <v>432</v>
      </c>
      <c r="C179" t="s">
        <v>92</v>
      </c>
      <c r="D179" t="s">
        <v>433</v>
      </c>
      <c r="E179">
        <v>657</v>
      </c>
      <c r="F179" s="14">
        <v>46197</v>
      </c>
      <c r="G179">
        <v>15</v>
      </c>
      <c r="H179" s="15">
        <v>1174</v>
      </c>
      <c r="I179" s="15">
        <v>1139</v>
      </c>
      <c r="J179" s="15">
        <v>0</v>
      </c>
      <c r="K179">
        <v>0</v>
      </c>
      <c r="L179" s="15">
        <v>0</v>
      </c>
      <c r="M179" s="15">
        <v>1139</v>
      </c>
      <c r="N179" s="16">
        <f t="shared" si="10"/>
        <v>1.7336377473363775</v>
      </c>
      <c r="O179" s="16">
        <f t="shared" si="11"/>
        <v>1.7336377473363775</v>
      </c>
      <c r="P179" t="s">
        <v>418</v>
      </c>
    </row>
    <row r="180" spans="1:16" x14ac:dyDescent="0.25">
      <c r="A180" t="s">
        <v>80</v>
      </c>
      <c r="B180" t="s">
        <v>434</v>
      </c>
      <c r="C180" t="s">
        <v>82</v>
      </c>
      <c r="D180" t="s">
        <v>435</v>
      </c>
      <c r="E180">
        <v>1130</v>
      </c>
      <c r="F180" s="14">
        <v>46199</v>
      </c>
      <c r="G180">
        <v>12</v>
      </c>
      <c r="H180" s="15">
        <v>1635</v>
      </c>
      <c r="I180" s="15">
        <v>1635</v>
      </c>
      <c r="J180" s="15">
        <v>0</v>
      </c>
      <c r="K180">
        <v>0</v>
      </c>
      <c r="L180" s="15">
        <v>0</v>
      </c>
      <c r="M180" s="15">
        <v>1635</v>
      </c>
      <c r="N180" s="16">
        <f t="shared" si="10"/>
        <v>1.4469026548672566</v>
      </c>
      <c r="O180" s="16">
        <f t="shared" si="11"/>
        <v>1.4469026548672566</v>
      </c>
      <c r="P180" t="s">
        <v>418</v>
      </c>
    </row>
    <row r="181" spans="1:16" x14ac:dyDescent="0.25">
      <c r="A181" t="s">
        <v>80</v>
      </c>
      <c r="B181" t="s">
        <v>436</v>
      </c>
      <c r="C181" t="s">
        <v>92</v>
      </c>
      <c r="D181" t="s">
        <v>153</v>
      </c>
      <c r="E181">
        <v>657</v>
      </c>
      <c r="F181" s="14">
        <v>46199</v>
      </c>
      <c r="G181">
        <v>12</v>
      </c>
      <c r="H181" s="15">
        <v>1094</v>
      </c>
      <c r="I181" s="15">
        <v>1094</v>
      </c>
      <c r="J181" s="15">
        <v>0</v>
      </c>
      <c r="K181">
        <v>0</v>
      </c>
      <c r="L181" s="15">
        <v>0</v>
      </c>
      <c r="M181" s="15">
        <v>1094</v>
      </c>
      <c r="N181" s="16">
        <f t="shared" si="10"/>
        <v>1.665144596651446</v>
      </c>
      <c r="O181" s="16">
        <f t="shared" si="11"/>
        <v>1.665144596651446</v>
      </c>
      <c r="P181" t="s">
        <v>418</v>
      </c>
    </row>
    <row r="182" spans="1:16" x14ac:dyDescent="0.25">
      <c r="A182" t="s">
        <v>80</v>
      </c>
      <c r="B182" t="s">
        <v>437</v>
      </c>
      <c r="C182" t="s">
        <v>82</v>
      </c>
      <c r="D182" t="s">
        <v>438</v>
      </c>
      <c r="E182">
        <v>1130</v>
      </c>
      <c r="F182" s="14">
        <v>46203</v>
      </c>
      <c r="G182">
        <v>12</v>
      </c>
      <c r="H182" s="15">
        <v>1580</v>
      </c>
      <c r="I182" s="15">
        <v>1580</v>
      </c>
      <c r="J182" s="15">
        <v>0</v>
      </c>
      <c r="K182">
        <v>0</v>
      </c>
      <c r="L182" s="15">
        <v>0</v>
      </c>
      <c r="M182" s="15">
        <v>1580</v>
      </c>
      <c r="N182" s="16">
        <f t="shared" si="10"/>
        <v>1.3982300884955752</v>
      </c>
      <c r="O182" s="16">
        <f t="shared" si="11"/>
        <v>1.3982300884955752</v>
      </c>
      <c r="P182" t="s">
        <v>418</v>
      </c>
    </row>
    <row r="183" spans="1:16" x14ac:dyDescent="0.25">
      <c r="A183" t="s">
        <v>80</v>
      </c>
      <c r="B183" t="s">
        <v>439</v>
      </c>
      <c r="C183" t="s">
        <v>98</v>
      </c>
      <c r="D183" t="s">
        <v>440</v>
      </c>
      <c r="E183">
        <v>550</v>
      </c>
      <c r="F183" s="14">
        <v>46203</v>
      </c>
      <c r="G183">
        <v>12</v>
      </c>
      <c r="H183" s="15">
        <v>1096</v>
      </c>
      <c r="I183" s="15">
        <v>1096</v>
      </c>
      <c r="J183" s="15">
        <v>0</v>
      </c>
      <c r="K183">
        <v>0</v>
      </c>
      <c r="L183" s="15">
        <v>0</v>
      </c>
      <c r="M183" s="15">
        <v>1096</v>
      </c>
      <c r="N183" s="16">
        <f t="shared" si="10"/>
        <v>1.9927272727272727</v>
      </c>
      <c r="O183" s="16">
        <f t="shared" si="11"/>
        <v>1.9927272727272727</v>
      </c>
      <c r="P183" t="s">
        <v>418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20" customWidth="1"/>
    <col min="3" max="3" width="8" customWidth="1"/>
    <col min="4" max="5" width="6" customWidth="1"/>
    <col min="6" max="6" width="8" customWidth="1"/>
    <col min="7" max="8" width="12" customWidth="1"/>
    <col min="9" max="9" width="11" customWidth="1"/>
    <col min="10" max="10" width="12" customWidth="1"/>
    <col min="11" max="11" width="11" customWidth="1"/>
    <col min="12" max="12" width="13" customWidth="1"/>
    <col min="13" max="13" width="12" customWidth="1"/>
    <col min="14" max="14" width="9" customWidth="1"/>
  </cols>
  <sheetData>
    <row r="1" spans="1:14" ht="30" x14ac:dyDescent="0.25">
      <c r="A1" s="7" t="s">
        <v>441</v>
      </c>
      <c r="B1" s="7" t="s">
        <v>442</v>
      </c>
      <c r="C1" s="7" t="s">
        <v>443</v>
      </c>
      <c r="D1" s="7" t="s">
        <v>444</v>
      </c>
      <c r="E1" s="7" t="s">
        <v>445</v>
      </c>
      <c r="F1" s="7" t="s">
        <v>69</v>
      </c>
      <c r="G1" s="7" t="s">
        <v>446</v>
      </c>
      <c r="H1" s="7" t="s">
        <v>447</v>
      </c>
      <c r="I1" s="7" t="s">
        <v>448</v>
      </c>
      <c r="J1" s="7" t="s">
        <v>449</v>
      </c>
      <c r="K1" s="7" t="s">
        <v>450</v>
      </c>
      <c r="L1" s="7" t="s">
        <v>77</v>
      </c>
      <c r="M1" s="7" t="s">
        <v>79</v>
      </c>
      <c r="N1" s="7" t="s">
        <v>3</v>
      </c>
    </row>
    <row r="2" spans="1:14" x14ac:dyDescent="0.25">
      <c r="A2" t="s">
        <v>451</v>
      </c>
      <c r="B2" t="s">
        <v>452</v>
      </c>
      <c r="C2" t="s">
        <v>453</v>
      </c>
      <c r="D2">
        <v>2</v>
      </c>
      <c r="E2">
        <v>2</v>
      </c>
      <c r="F2">
        <v>903</v>
      </c>
      <c r="G2" s="14">
        <v>45826</v>
      </c>
      <c r="H2" s="14">
        <v>45839</v>
      </c>
      <c r="I2">
        <v>14</v>
      </c>
      <c r="J2" s="15">
        <v>1765</v>
      </c>
      <c r="K2" s="16">
        <f t="shared" ref="K2:K65" si="0">IFERROR(J2/F2,0)</f>
        <v>1.9545957918050942</v>
      </c>
      <c r="L2" s="15">
        <v>1471</v>
      </c>
      <c r="M2" s="16">
        <f t="shared" ref="M2:M65" si="1">IFERROR(L2/F2,0)</f>
        <v>1.6290143964562569</v>
      </c>
      <c r="N2" t="s">
        <v>84</v>
      </c>
    </row>
    <row r="3" spans="1:14" x14ac:dyDescent="0.25">
      <c r="A3" t="s">
        <v>454</v>
      </c>
      <c r="B3" t="s">
        <v>455</v>
      </c>
      <c r="C3" t="s">
        <v>456</v>
      </c>
      <c r="D3">
        <v>2</v>
      </c>
      <c r="E3">
        <v>2</v>
      </c>
      <c r="F3">
        <v>1001</v>
      </c>
      <c r="G3" s="14">
        <v>45784</v>
      </c>
      <c r="H3" s="14">
        <v>45839</v>
      </c>
      <c r="I3">
        <v>56</v>
      </c>
      <c r="J3" s="15">
        <v>1425</v>
      </c>
      <c r="K3" s="16">
        <f t="shared" si="0"/>
        <v>1.4235764235764237</v>
      </c>
      <c r="L3" s="15">
        <v>1425</v>
      </c>
      <c r="M3" s="16">
        <f t="shared" si="1"/>
        <v>1.4235764235764237</v>
      </c>
      <c r="N3" t="s">
        <v>84</v>
      </c>
    </row>
    <row r="4" spans="1:14" x14ac:dyDescent="0.25">
      <c r="A4" t="s">
        <v>457</v>
      </c>
      <c r="B4" t="s">
        <v>458</v>
      </c>
      <c r="C4" t="s">
        <v>459</v>
      </c>
      <c r="D4">
        <v>1</v>
      </c>
      <c r="E4">
        <v>1</v>
      </c>
      <c r="F4">
        <v>762</v>
      </c>
      <c r="G4" s="14">
        <v>45790</v>
      </c>
      <c r="H4" s="14">
        <v>45840</v>
      </c>
      <c r="I4">
        <v>51</v>
      </c>
      <c r="J4" s="15">
        <v>1278</v>
      </c>
      <c r="K4" s="16">
        <f t="shared" si="0"/>
        <v>1.6771653543307086</v>
      </c>
      <c r="L4" s="15">
        <v>1081</v>
      </c>
      <c r="M4" s="16">
        <f t="shared" si="1"/>
        <v>1.4186351706036746</v>
      </c>
      <c r="N4" t="s">
        <v>84</v>
      </c>
    </row>
    <row r="5" spans="1:14" x14ac:dyDescent="0.25">
      <c r="A5" t="s">
        <v>451</v>
      </c>
      <c r="B5" t="s">
        <v>460</v>
      </c>
      <c r="C5" t="s">
        <v>461</v>
      </c>
      <c r="D5">
        <v>1</v>
      </c>
      <c r="E5">
        <v>1</v>
      </c>
      <c r="F5">
        <v>726</v>
      </c>
      <c r="G5" s="14">
        <v>45667</v>
      </c>
      <c r="H5" s="14">
        <v>45841</v>
      </c>
      <c r="I5">
        <v>175</v>
      </c>
      <c r="J5" s="15">
        <v>1489</v>
      </c>
      <c r="K5" s="16">
        <f t="shared" si="0"/>
        <v>2.0509641873278235</v>
      </c>
      <c r="L5" s="15">
        <v>1241</v>
      </c>
      <c r="M5" s="16">
        <f t="shared" si="1"/>
        <v>1.7093663911845729</v>
      </c>
      <c r="N5" t="s">
        <v>84</v>
      </c>
    </row>
    <row r="6" spans="1:14" x14ac:dyDescent="0.25">
      <c r="A6" t="s">
        <v>462</v>
      </c>
      <c r="B6" t="s">
        <v>463</v>
      </c>
      <c r="C6" t="s">
        <v>464</v>
      </c>
      <c r="D6">
        <v>2</v>
      </c>
      <c r="E6">
        <v>2</v>
      </c>
      <c r="F6">
        <v>958</v>
      </c>
      <c r="G6" s="14">
        <v>45835</v>
      </c>
      <c r="H6" s="14">
        <v>45841</v>
      </c>
      <c r="I6">
        <v>7</v>
      </c>
      <c r="J6" s="15">
        <v>1750</v>
      </c>
      <c r="K6" s="16">
        <f t="shared" si="0"/>
        <v>1.826722338204593</v>
      </c>
      <c r="L6" s="15">
        <v>1604</v>
      </c>
      <c r="M6" s="16">
        <f t="shared" si="1"/>
        <v>1.6743215031315239</v>
      </c>
      <c r="N6" t="s">
        <v>84</v>
      </c>
    </row>
    <row r="7" spans="1:14" x14ac:dyDescent="0.25">
      <c r="A7" t="s">
        <v>465</v>
      </c>
      <c r="B7" t="s">
        <v>466</v>
      </c>
      <c r="C7" t="s">
        <v>467</v>
      </c>
      <c r="D7">
        <v>1</v>
      </c>
      <c r="E7">
        <v>1</v>
      </c>
      <c r="F7">
        <v>757</v>
      </c>
      <c r="G7" s="14">
        <v>45820</v>
      </c>
      <c r="H7" s="14">
        <v>45841</v>
      </c>
      <c r="I7">
        <v>22</v>
      </c>
      <c r="J7" s="15">
        <v>1274</v>
      </c>
      <c r="K7" s="16">
        <f t="shared" si="0"/>
        <v>1.6829590488771466</v>
      </c>
      <c r="L7" s="15">
        <v>1078</v>
      </c>
      <c r="M7" s="16">
        <f t="shared" si="1"/>
        <v>1.4240422721268164</v>
      </c>
      <c r="N7" t="s">
        <v>84</v>
      </c>
    </row>
    <row r="8" spans="1:14" x14ac:dyDescent="0.25">
      <c r="A8" t="s">
        <v>451</v>
      </c>
      <c r="B8" t="s">
        <v>468</v>
      </c>
      <c r="C8" t="s">
        <v>469</v>
      </c>
      <c r="D8">
        <v>2</v>
      </c>
      <c r="E8">
        <v>2</v>
      </c>
      <c r="F8">
        <v>810</v>
      </c>
      <c r="G8" s="14">
        <v>45418</v>
      </c>
      <c r="H8" s="14">
        <v>45843</v>
      </c>
      <c r="I8">
        <v>426</v>
      </c>
      <c r="J8" s="15">
        <v>1559</v>
      </c>
      <c r="K8" s="16">
        <f t="shared" si="0"/>
        <v>1.9246913580246914</v>
      </c>
      <c r="L8" s="15">
        <v>1299</v>
      </c>
      <c r="M8" s="16">
        <f t="shared" si="1"/>
        <v>1.6037037037037036</v>
      </c>
      <c r="N8" t="s">
        <v>84</v>
      </c>
    </row>
    <row r="9" spans="1:14" x14ac:dyDescent="0.25">
      <c r="A9" t="s">
        <v>462</v>
      </c>
      <c r="B9" t="s">
        <v>470</v>
      </c>
      <c r="C9" t="s">
        <v>471</v>
      </c>
      <c r="D9">
        <v>1</v>
      </c>
      <c r="E9">
        <v>1</v>
      </c>
      <c r="F9">
        <v>732</v>
      </c>
      <c r="G9" s="14">
        <v>45672</v>
      </c>
      <c r="H9" s="14">
        <v>45843</v>
      </c>
      <c r="I9">
        <v>172</v>
      </c>
      <c r="J9" s="15">
        <v>1425</v>
      </c>
      <c r="K9" s="16">
        <f t="shared" si="0"/>
        <v>1.9467213114754098</v>
      </c>
      <c r="L9" s="15">
        <v>1306</v>
      </c>
      <c r="M9" s="16">
        <f t="shared" si="1"/>
        <v>1.784153005464481</v>
      </c>
      <c r="N9" t="s">
        <v>84</v>
      </c>
    </row>
    <row r="10" spans="1:14" x14ac:dyDescent="0.25">
      <c r="A10" t="s">
        <v>472</v>
      </c>
      <c r="B10" t="s">
        <v>473</v>
      </c>
      <c r="C10" t="s">
        <v>474</v>
      </c>
      <c r="D10">
        <v>2</v>
      </c>
      <c r="E10">
        <v>1</v>
      </c>
      <c r="F10">
        <v>800</v>
      </c>
      <c r="G10" s="14">
        <v>45798</v>
      </c>
      <c r="H10" s="14">
        <v>45843</v>
      </c>
      <c r="I10">
        <v>46</v>
      </c>
      <c r="J10" s="15">
        <v>1448</v>
      </c>
      <c r="K10" s="16">
        <f t="shared" si="0"/>
        <v>1.81</v>
      </c>
      <c r="L10" s="15">
        <v>1448</v>
      </c>
      <c r="M10" s="16">
        <f t="shared" si="1"/>
        <v>1.81</v>
      </c>
      <c r="N10" t="s">
        <v>84</v>
      </c>
    </row>
    <row r="11" spans="1:14" x14ac:dyDescent="0.25">
      <c r="A11" t="s">
        <v>462</v>
      </c>
      <c r="B11" t="s">
        <v>475</v>
      </c>
      <c r="C11" t="s">
        <v>476</v>
      </c>
      <c r="D11">
        <v>2</v>
      </c>
      <c r="E11">
        <v>2</v>
      </c>
      <c r="F11">
        <v>1029</v>
      </c>
      <c r="G11" s="14">
        <v>45835</v>
      </c>
      <c r="H11" s="14">
        <v>45844</v>
      </c>
      <c r="I11">
        <v>10</v>
      </c>
      <c r="J11" s="15">
        <v>1900</v>
      </c>
      <c r="K11" s="16">
        <f t="shared" si="0"/>
        <v>1.8464528668610301</v>
      </c>
      <c r="L11" s="15">
        <v>1742</v>
      </c>
      <c r="M11" s="16">
        <f t="shared" si="1"/>
        <v>1.6929057337220603</v>
      </c>
      <c r="N11" t="s">
        <v>84</v>
      </c>
    </row>
    <row r="12" spans="1:14" x14ac:dyDescent="0.25">
      <c r="A12" t="s">
        <v>477</v>
      </c>
      <c r="B12" t="s">
        <v>478</v>
      </c>
      <c r="C12" t="s">
        <v>479</v>
      </c>
      <c r="D12">
        <v>1</v>
      </c>
      <c r="E12">
        <v>1</v>
      </c>
      <c r="F12">
        <v>771</v>
      </c>
      <c r="G12" s="14">
        <v>45793</v>
      </c>
      <c r="H12" s="14">
        <v>45846</v>
      </c>
      <c r="I12">
        <v>54</v>
      </c>
      <c r="J12" s="15">
        <v>1031</v>
      </c>
      <c r="K12" s="16">
        <f t="shared" si="0"/>
        <v>1.3372243839169908</v>
      </c>
      <c r="L12" s="15">
        <v>1031</v>
      </c>
      <c r="M12" s="16">
        <f t="shared" si="1"/>
        <v>1.3372243839169908</v>
      </c>
      <c r="N12" t="s">
        <v>84</v>
      </c>
    </row>
    <row r="13" spans="1:14" x14ac:dyDescent="0.25">
      <c r="A13" t="s">
        <v>472</v>
      </c>
      <c r="B13" t="s">
        <v>473</v>
      </c>
      <c r="C13" t="s">
        <v>480</v>
      </c>
      <c r="D13">
        <v>2</v>
      </c>
      <c r="E13">
        <v>1</v>
      </c>
      <c r="F13">
        <v>800</v>
      </c>
      <c r="G13" s="14">
        <v>45779</v>
      </c>
      <c r="H13" s="14">
        <v>45846</v>
      </c>
      <c r="I13">
        <v>68</v>
      </c>
      <c r="J13" s="15">
        <v>1448</v>
      </c>
      <c r="K13" s="16">
        <f t="shared" si="0"/>
        <v>1.81</v>
      </c>
      <c r="L13" s="15">
        <v>1448</v>
      </c>
      <c r="M13" s="16">
        <f t="shared" si="1"/>
        <v>1.81</v>
      </c>
      <c r="N13" t="s">
        <v>84</v>
      </c>
    </row>
    <row r="14" spans="1:14" x14ac:dyDescent="0.25">
      <c r="A14" t="s">
        <v>454</v>
      </c>
      <c r="B14" t="s">
        <v>481</v>
      </c>
      <c r="C14" t="s">
        <v>482</v>
      </c>
      <c r="D14">
        <v>2</v>
      </c>
      <c r="E14">
        <v>2</v>
      </c>
      <c r="F14">
        <v>1001</v>
      </c>
      <c r="G14" s="14">
        <v>45826</v>
      </c>
      <c r="H14" s="14">
        <v>45849</v>
      </c>
      <c r="I14">
        <v>24</v>
      </c>
      <c r="J14" s="15">
        <v>1400</v>
      </c>
      <c r="K14" s="16">
        <f t="shared" si="0"/>
        <v>1.3986013986013985</v>
      </c>
      <c r="L14" s="15">
        <v>1400</v>
      </c>
      <c r="M14" s="16">
        <f t="shared" si="1"/>
        <v>1.3986013986013985</v>
      </c>
      <c r="N14" t="s">
        <v>84</v>
      </c>
    </row>
    <row r="15" spans="1:14" x14ac:dyDescent="0.25">
      <c r="A15" t="s">
        <v>483</v>
      </c>
      <c r="B15" t="s">
        <v>484</v>
      </c>
      <c r="C15" t="s">
        <v>485</v>
      </c>
      <c r="D15">
        <v>2</v>
      </c>
      <c r="E15">
        <v>2</v>
      </c>
      <c r="F15">
        <v>991</v>
      </c>
      <c r="G15" s="14">
        <v>45749</v>
      </c>
      <c r="H15" s="14">
        <v>45849</v>
      </c>
      <c r="I15">
        <v>101</v>
      </c>
      <c r="J15" s="15">
        <v>861</v>
      </c>
      <c r="K15" s="16">
        <f t="shared" si="0"/>
        <v>0.86881937436932388</v>
      </c>
      <c r="L15" s="15">
        <v>861</v>
      </c>
      <c r="M15" s="16">
        <f t="shared" si="1"/>
        <v>0.86881937436932388</v>
      </c>
      <c r="N15" t="s">
        <v>84</v>
      </c>
    </row>
    <row r="16" spans="1:14" x14ac:dyDescent="0.25">
      <c r="A16" t="s">
        <v>486</v>
      </c>
      <c r="B16" t="s">
        <v>487</v>
      </c>
      <c r="C16" t="s">
        <v>488</v>
      </c>
      <c r="D16">
        <v>2</v>
      </c>
      <c r="E16">
        <v>2</v>
      </c>
      <c r="F16">
        <v>1000</v>
      </c>
      <c r="G16" s="14">
        <v>45633</v>
      </c>
      <c r="H16" s="14">
        <v>45850</v>
      </c>
      <c r="I16">
        <v>218</v>
      </c>
      <c r="J16" s="15">
        <v>1427</v>
      </c>
      <c r="K16" s="16">
        <f t="shared" si="0"/>
        <v>1.427</v>
      </c>
      <c r="L16" s="15">
        <v>1207</v>
      </c>
      <c r="M16" s="16">
        <f t="shared" si="1"/>
        <v>1.2070000000000001</v>
      </c>
      <c r="N16" t="s">
        <v>84</v>
      </c>
    </row>
    <row r="17" spans="1:14" x14ac:dyDescent="0.25">
      <c r="A17" t="s">
        <v>465</v>
      </c>
      <c r="B17" t="s">
        <v>489</v>
      </c>
      <c r="C17" t="s">
        <v>490</v>
      </c>
      <c r="D17">
        <v>1</v>
      </c>
      <c r="E17">
        <v>1</v>
      </c>
      <c r="F17">
        <v>532</v>
      </c>
      <c r="G17" s="14">
        <v>45811</v>
      </c>
      <c r="H17" s="14">
        <v>45850</v>
      </c>
      <c r="I17">
        <v>40</v>
      </c>
      <c r="J17" s="15">
        <v>1123</v>
      </c>
      <c r="K17" s="16">
        <f t="shared" si="0"/>
        <v>2.1109022556390977</v>
      </c>
      <c r="L17" s="15">
        <v>950</v>
      </c>
      <c r="M17" s="16">
        <f t="shared" si="1"/>
        <v>1.7857142857142858</v>
      </c>
      <c r="N17" t="s">
        <v>84</v>
      </c>
    </row>
    <row r="18" spans="1:14" x14ac:dyDescent="0.25">
      <c r="A18" t="s">
        <v>451</v>
      </c>
      <c r="B18" t="s">
        <v>468</v>
      </c>
      <c r="C18" t="s">
        <v>491</v>
      </c>
      <c r="D18">
        <v>2</v>
      </c>
      <c r="E18">
        <v>2</v>
      </c>
      <c r="F18">
        <v>810</v>
      </c>
      <c r="G18" s="14">
        <v>45674</v>
      </c>
      <c r="H18" s="14">
        <v>45853</v>
      </c>
      <c r="I18">
        <v>180</v>
      </c>
      <c r="J18" s="15">
        <v>1559</v>
      </c>
      <c r="K18" s="16">
        <f t="shared" si="0"/>
        <v>1.9246913580246914</v>
      </c>
      <c r="L18" s="15">
        <v>1299</v>
      </c>
      <c r="M18" s="16">
        <f t="shared" si="1"/>
        <v>1.6037037037037036</v>
      </c>
      <c r="N18" t="s">
        <v>84</v>
      </c>
    </row>
    <row r="19" spans="1:14" x14ac:dyDescent="0.25">
      <c r="A19" t="s">
        <v>457</v>
      </c>
      <c r="B19" t="s">
        <v>458</v>
      </c>
      <c r="C19" t="s">
        <v>492</v>
      </c>
      <c r="D19">
        <v>1</v>
      </c>
      <c r="E19">
        <v>1</v>
      </c>
      <c r="F19">
        <v>762</v>
      </c>
      <c r="G19" s="14">
        <v>45744</v>
      </c>
      <c r="H19" s="14">
        <v>45853</v>
      </c>
      <c r="I19">
        <v>110</v>
      </c>
      <c r="J19" s="15">
        <v>1278</v>
      </c>
      <c r="K19" s="16">
        <f t="shared" si="0"/>
        <v>1.6771653543307086</v>
      </c>
      <c r="L19" s="15">
        <v>1081</v>
      </c>
      <c r="M19" s="16">
        <f t="shared" si="1"/>
        <v>1.4186351706036746</v>
      </c>
      <c r="N19" t="s">
        <v>84</v>
      </c>
    </row>
    <row r="20" spans="1:14" x14ac:dyDescent="0.25">
      <c r="A20" t="s">
        <v>462</v>
      </c>
      <c r="B20" t="s">
        <v>470</v>
      </c>
      <c r="C20" t="s">
        <v>493</v>
      </c>
      <c r="D20">
        <v>1</v>
      </c>
      <c r="E20">
        <v>1</v>
      </c>
      <c r="F20">
        <v>732</v>
      </c>
      <c r="G20" s="14">
        <v>45647</v>
      </c>
      <c r="H20" s="14">
        <v>45854</v>
      </c>
      <c r="I20">
        <v>208</v>
      </c>
      <c r="J20" s="15">
        <v>1600</v>
      </c>
      <c r="K20" s="16">
        <f t="shared" si="0"/>
        <v>2.1857923497267762</v>
      </c>
      <c r="L20" s="15">
        <v>1333</v>
      </c>
      <c r="M20" s="16">
        <f t="shared" si="1"/>
        <v>1.8210382513661203</v>
      </c>
      <c r="N20" t="s">
        <v>84</v>
      </c>
    </row>
    <row r="21" spans="1:14" x14ac:dyDescent="0.25">
      <c r="A21" t="s">
        <v>454</v>
      </c>
      <c r="B21" t="s">
        <v>494</v>
      </c>
      <c r="C21" t="s">
        <v>495</v>
      </c>
      <c r="D21">
        <v>2</v>
      </c>
      <c r="E21">
        <v>2</v>
      </c>
      <c r="F21">
        <v>1001</v>
      </c>
      <c r="G21" s="14">
        <v>45849</v>
      </c>
      <c r="H21" s="14">
        <v>45854</v>
      </c>
      <c r="I21">
        <v>6</v>
      </c>
      <c r="J21" s="15">
        <v>1745</v>
      </c>
      <c r="K21" s="16">
        <f t="shared" si="0"/>
        <v>1.7432567432567432</v>
      </c>
      <c r="L21" s="15">
        <v>1745</v>
      </c>
      <c r="M21" s="16">
        <f t="shared" si="1"/>
        <v>1.7432567432567432</v>
      </c>
      <c r="N21" t="s">
        <v>84</v>
      </c>
    </row>
    <row r="22" spans="1:14" x14ac:dyDescent="0.25">
      <c r="A22" t="s">
        <v>472</v>
      </c>
      <c r="B22" t="s">
        <v>496</v>
      </c>
      <c r="C22" t="s">
        <v>497</v>
      </c>
      <c r="D22">
        <v>1</v>
      </c>
      <c r="E22">
        <v>1</v>
      </c>
      <c r="F22">
        <v>625</v>
      </c>
      <c r="G22" s="14">
        <v>45811</v>
      </c>
      <c r="H22" s="14">
        <v>45854</v>
      </c>
      <c r="I22">
        <v>44</v>
      </c>
      <c r="J22" s="15">
        <v>1328</v>
      </c>
      <c r="K22" s="16">
        <f t="shared" si="0"/>
        <v>2.1248</v>
      </c>
      <c r="L22" s="15">
        <v>1124</v>
      </c>
      <c r="M22" s="16">
        <f t="shared" si="1"/>
        <v>1.7984</v>
      </c>
      <c r="N22" t="s">
        <v>84</v>
      </c>
    </row>
    <row r="23" spans="1:14" x14ac:dyDescent="0.25">
      <c r="A23" t="s">
        <v>451</v>
      </c>
      <c r="B23" t="s">
        <v>460</v>
      </c>
      <c r="C23" t="s">
        <v>498</v>
      </c>
      <c r="D23">
        <v>1</v>
      </c>
      <c r="E23">
        <v>1</v>
      </c>
      <c r="F23">
        <v>726</v>
      </c>
      <c r="G23" s="14">
        <v>45731</v>
      </c>
      <c r="H23" s="14">
        <v>45856</v>
      </c>
      <c r="I23">
        <v>126</v>
      </c>
      <c r="J23" s="15">
        <v>1489</v>
      </c>
      <c r="K23" s="16">
        <f t="shared" si="0"/>
        <v>2.0509641873278235</v>
      </c>
      <c r="L23" s="15">
        <v>1241</v>
      </c>
      <c r="M23" s="16">
        <f t="shared" si="1"/>
        <v>1.7093663911845729</v>
      </c>
      <c r="N23" t="s">
        <v>84</v>
      </c>
    </row>
    <row r="24" spans="1:14" x14ac:dyDescent="0.25">
      <c r="A24" t="s">
        <v>472</v>
      </c>
      <c r="B24" t="s">
        <v>496</v>
      </c>
      <c r="C24" t="s">
        <v>499</v>
      </c>
      <c r="D24">
        <v>1</v>
      </c>
      <c r="E24">
        <v>1</v>
      </c>
      <c r="F24">
        <v>625</v>
      </c>
      <c r="G24" s="14">
        <v>45826</v>
      </c>
      <c r="H24" s="14">
        <v>45856</v>
      </c>
      <c r="I24">
        <v>31</v>
      </c>
      <c r="J24" s="15">
        <v>1328</v>
      </c>
      <c r="K24" s="16">
        <f t="shared" si="0"/>
        <v>2.1248</v>
      </c>
      <c r="L24" s="15">
        <v>1124</v>
      </c>
      <c r="M24" s="16">
        <f t="shared" si="1"/>
        <v>1.7984</v>
      </c>
      <c r="N24" t="s">
        <v>84</v>
      </c>
    </row>
    <row r="25" spans="1:14" x14ac:dyDescent="0.25">
      <c r="A25" t="s">
        <v>465</v>
      </c>
      <c r="B25" t="s">
        <v>500</v>
      </c>
      <c r="C25" t="s">
        <v>501</v>
      </c>
      <c r="D25">
        <v>2</v>
      </c>
      <c r="E25">
        <v>1</v>
      </c>
      <c r="F25">
        <v>912</v>
      </c>
      <c r="G25" s="14">
        <v>45763</v>
      </c>
      <c r="H25" s="14">
        <v>45856</v>
      </c>
      <c r="I25">
        <v>94</v>
      </c>
      <c r="J25" s="15">
        <v>1501</v>
      </c>
      <c r="K25" s="16">
        <f t="shared" si="0"/>
        <v>1.6458333333333333</v>
      </c>
      <c r="L25" s="15">
        <v>1288</v>
      </c>
      <c r="M25" s="16">
        <f t="shared" si="1"/>
        <v>1.4122807017543859</v>
      </c>
      <c r="N25" t="s">
        <v>84</v>
      </c>
    </row>
    <row r="26" spans="1:14" x14ac:dyDescent="0.25">
      <c r="A26" t="s">
        <v>465</v>
      </c>
      <c r="B26" t="s">
        <v>502</v>
      </c>
      <c r="C26" t="s">
        <v>503</v>
      </c>
      <c r="D26">
        <v>2</v>
      </c>
      <c r="E26">
        <v>2</v>
      </c>
      <c r="F26">
        <v>1011</v>
      </c>
      <c r="G26" s="14">
        <v>45839</v>
      </c>
      <c r="H26" s="14">
        <v>45856</v>
      </c>
      <c r="I26">
        <v>18</v>
      </c>
      <c r="J26" s="15">
        <v>1496</v>
      </c>
      <c r="K26" s="16">
        <f t="shared" si="0"/>
        <v>1.4797230464886251</v>
      </c>
      <c r="L26" s="15">
        <v>1283</v>
      </c>
      <c r="M26" s="16">
        <f t="shared" si="1"/>
        <v>1.2690405539070226</v>
      </c>
      <c r="N26" t="s">
        <v>84</v>
      </c>
    </row>
    <row r="27" spans="1:14" x14ac:dyDescent="0.25">
      <c r="A27" t="s">
        <v>462</v>
      </c>
      <c r="B27" t="s">
        <v>470</v>
      </c>
      <c r="C27" t="s">
        <v>504</v>
      </c>
      <c r="D27">
        <v>1</v>
      </c>
      <c r="E27">
        <v>1</v>
      </c>
      <c r="F27">
        <v>732</v>
      </c>
      <c r="G27" s="14">
        <v>45835</v>
      </c>
      <c r="H27" s="14">
        <v>45857</v>
      </c>
      <c r="I27">
        <v>23</v>
      </c>
      <c r="J27" s="15">
        <v>1425</v>
      </c>
      <c r="K27" s="16">
        <f t="shared" si="0"/>
        <v>1.9467213114754098</v>
      </c>
      <c r="L27" s="15">
        <v>1425</v>
      </c>
      <c r="M27" s="16">
        <f t="shared" si="1"/>
        <v>1.9467213114754098</v>
      </c>
      <c r="N27" t="s">
        <v>84</v>
      </c>
    </row>
    <row r="28" spans="1:14" x14ac:dyDescent="0.25">
      <c r="A28" t="s">
        <v>462</v>
      </c>
      <c r="B28" t="s">
        <v>470</v>
      </c>
      <c r="C28" t="s">
        <v>505</v>
      </c>
      <c r="D28">
        <v>1</v>
      </c>
      <c r="E28">
        <v>1</v>
      </c>
      <c r="F28">
        <v>732</v>
      </c>
      <c r="G28" s="14">
        <v>45835</v>
      </c>
      <c r="H28" s="14">
        <v>45857</v>
      </c>
      <c r="I28">
        <v>23</v>
      </c>
      <c r="J28" s="15">
        <v>1600</v>
      </c>
      <c r="K28" s="16">
        <f t="shared" si="0"/>
        <v>2.1857923497267762</v>
      </c>
      <c r="L28" s="15">
        <v>1333</v>
      </c>
      <c r="M28" s="16">
        <f t="shared" si="1"/>
        <v>1.8210382513661203</v>
      </c>
      <c r="N28" t="s">
        <v>84</v>
      </c>
    </row>
    <row r="29" spans="1:14" x14ac:dyDescent="0.25">
      <c r="A29" t="s">
        <v>462</v>
      </c>
      <c r="B29" t="s">
        <v>475</v>
      </c>
      <c r="C29" t="s">
        <v>506</v>
      </c>
      <c r="D29">
        <v>2</v>
      </c>
      <c r="E29">
        <v>2</v>
      </c>
      <c r="F29">
        <v>1029</v>
      </c>
      <c r="G29" s="14">
        <v>45811</v>
      </c>
      <c r="H29" s="14">
        <v>45858</v>
      </c>
      <c r="I29">
        <v>48</v>
      </c>
      <c r="J29" s="15">
        <v>1700</v>
      </c>
      <c r="K29" s="16">
        <f t="shared" si="0"/>
        <v>1.652089407191448</v>
      </c>
      <c r="L29" s="15">
        <v>1417</v>
      </c>
      <c r="M29" s="16">
        <f t="shared" si="1"/>
        <v>1.3770651117589894</v>
      </c>
      <c r="N29" t="s">
        <v>84</v>
      </c>
    </row>
    <row r="30" spans="1:14" x14ac:dyDescent="0.25">
      <c r="A30" t="s">
        <v>462</v>
      </c>
      <c r="B30" t="s">
        <v>507</v>
      </c>
      <c r="C30" t="s">
        <v>508</v>
      </c>
      <c r="D30">
        <v>3</v>
      </c>
      <c r="E30">
        <v>2</v>
      </c>
      <c r="F30">
        <v>1345</v>
      </c>
      <c r="G30" s="14">
        <v>45844</v>
      </c>
      <c r="H30" s="14">
        <v>45858</v>
      </c>
      <c r="I30">
        <v>15</v>
      </c>
      <c r="J30" s="15">
        <v>2300</v>
      </c>
      <c r="K30" s="16">
        <f t="shared" si="0"/>
        <v>1.7100371747211895</v>
      </c>
      <c r="L30" s="15">
        <v>1917</v>
      </c>
      <c r="M30" s="16">
        <f t="shared" si="1"/>
        <v>1.425278810408922</v>
      </c>
      <c r="N30" t="s">
        <v>84</v>
      </c>
    </row>
    <row r="31" spans="1:14" x14ac:dyDescent="0.25">
      <c r="A31" t="s">
        <v>462</v>
      </c>
      <c r="B31" t="s">
        <v>470</v>
      </c>
      <c r="C31" t="s">
        <v>509</v>
      </c>
      <c r="D31">
        <v>1</v>
      </c>
      <c r="E31">
        <v>1</v>
      </c>
      <c r="F31">
        <v>732</v>
      </c>
      <c r="G31" s="14">
        <v>45835</v>
      </c>
      <c r="H31" s="14">
        <v>45860</v>
      </c>
      <c r="I31">
        <v>26</v>
      </c>
      <c r="J31" s="15">
        <v>1425</v>
      </c>
      <c r="K31" s="16">
        <f t="shared" si="0"/>
        <v>1.9467213114754098</v>
      </c>
      <c r="L31" s="15">
        <v>1188</v>
      </c>
      <c r="M31" s="16">
        <f t="shared" si="1"/>
        <v>1.6229508196721312</v>
      </c>
      <c r="N31" t="s">
        <v>84</v>
      </c>
    </row>
    <row r="32" spans="1:14" x14ac:dyDescent="0.25">
      <c r="A32" t="s">
        <v>486</v>
      </c>
      <c r="B32" t="s">
        <v>510</v>
      </c>
      <c r="C32" t="s">
        <v>511</v>
      </c>
      <c r="D32">
        <v>1</v>
      </c>
      <c r="E32">
        <v>1</v>
      </c>
      <c r="F32">
        <v>650</v>
      </c>
      <c r="G32" s="14">
        <v>45763</v>
      </c>
      <c r="H32" s="14">
        <v>45861</v>
      </c>
      <c r="I32">
        <v>99</v>
      </c>
      <c r="J32" s="15">
        <v>1200</v>
      </c>
      <c r="K32" s="16">
        <f t="shared" si="0"/>
        <v>1.8461538461538463</v>
      </c>
      <c r="L32" s="15">
        <v>1015</v>
      </c>
      <c r="M32" s="16">
        <f t="shared" si="1"/>
        <v>1.5615384615384615</v>
      </c>
      <c r="N32" t="s">
        <v>84</v>
      </c>
    </row>
    <row r="33" spans="1:14" x14ac:dyDescent="0.25">
      <c r="A33" t="s">
        <v>451</v>
      </c>
      <c r="B33" t="s">
        <v>468</v>
      </c>
      <c r="C33" t="s">
        <v>512</v>
      </c>
      <c r="D33">
        <v>2</v>
      </c>
      <c r="E33">
        <v>2</v>
      </c>
      <c r="F33">
        <v>810</v>
      </c>
      <c r="G33" s="14">
        <v>45603</v>
      </c>
      <c r="H33" s="14">
        <v>45862</v>
      </c>
      <c r="I33">
        <v>260</v>
      </c>
      <c r="J33" s="15">
        <v>1559</v>
      </c>
      <c r="K33" s="16">
        <f t="shared" si="0"/>
        <v>1.9246913580246914</v>
      </c>
      <c r="L33" s="15">
        <v>1299</v>
      </c>
      <c r="M33" s="16">
        <f t="shared" si="1"/>
        <v>1.6037037037037036</v>
      </c>
      <c r="N33" t="s">
        <v>84</v>
      </c>
    </row>
    <row r="34" spans="1:14" x14ac:dyDescent="0.25">
      <c r="A34" t="s">
        <v>486</v>
      </c>
      <c r="B34" t="s">
        <v>513</v>
      </c>
      <c r="C34" t="s">
        <v>514</v>
      </c>
      <c r="D34">
        <v>2</v>
      </c>
      <c r="E34">
        <v>2</v>
      </c>
      <c r="F34">
        <v>1000</v>
      </c>
      <c r="G34" s="14">
        <v>45799</v>
      </c>
      <c r="H34" s="14">
        <v>45862</v>
      </c>
      <c r="I34">
        <v>64</v>
      </c>
      <c r="J34" s="15">
        <v>1382</v>
      </c>
      <c r="K34" s="16">
        <f t="shared" si="0"/>
        <v>1.3819999999999999</v>
      </c>
      <c r="L34" s="15">
        <v>1169</v>
      </c>
      <c r="M34" s="16">
        <f t="shared" si="1"/>
        <v>1.169</v>
      </c>
      <c r="N34" t="s">
        <v>84</v>
      </c>
    </row>
    <row r="35" spans="1:14" x14ac:dyDescent="0.25">
      <c r="A35" t="s">
        <v>486</v>
      </c>
      <c r="B35" t="s">
        <v>515</v>
      </c>
      <c r="C35" t="s">
        <v>516</v>
      </c>
      <c r="D35">
        <v>2</v>
      </c>
      <c r="E35">
        <v>2</v>
      </c>
      <c r="F35">
        <v>1000</v>
      </c>
      <c r="G35" s="14">
        <v>45861</v>
      </c>
      <c r="H35" s="14">
        <v>45862</v>
      </c>
      <c r="I35">
        <v>2</v>
      </c>
      <c r="J35" s="15">
        <v>1415</v>
      </c>
      <c r="K35" s="16">
        <f t="shared" si="0"/>
        <v>1.415</v>
      </c>
      <c r="L35" s="15">
        <v>1228</v>
      </c>
      <c r="M35" s="16">
        <f t="shared" si="1"/>
        <v>1.228</v>
      </c>
      <c r="N35" t="s">
        <v>84</v>
      </c>
    </row>
    <row r="36" spans="1:14" x14ac:dyDescent="0.25">
      <c r="A36" t="s">
        <v>486</v>
      </c>
      <c r="B36" t="s">
        <v>517</v>
      </c>
      <c r="C36" t="s">
        <v>518</v>
      </c>
      <c r="D36">
        <v>2</v>
      </c>
      <c r="E36">
        <v>2</v>
      </c>
      <c r="F36">
        <v>1000</v>
      </c>
      <c r="G36" s="14">
        <v>45796</v>
      </c>
      <c r="H36" s="14">
        <v>45862</v>
      </c>
      <c r="I36">
        <v>67</v>
      </c>
      <c r="J36" s="15">
        <v>1455</v>
      </c>
      <c r="K36" s="16">
        <f t="shared" si="0"/>
        <v>1.4550000000000001</v>
      </c>
      <c r="L36" s="15">
        <v>1263</v>
      </c>
      <c r="M36" s="16">
        <f t="shared" si="1"/>
        <v>1.2629999999999999</v>
      </c>
      <c r="N36" t="s">
        <v>84</v>
      </c>
    </row>
    <row r="37" spans="1:14" x14ac:dyDescent="0.25">
      <c r="A37" t="s">
        <v>451</v>
      </c>
      <c r="B37" t="s">
        <v>468</v>
      </c>
      <c r="C37" t="s">
        <v>519</v>
      </c>
      <c r="D37">
        <v>2</v>
      </c>
      <c r="E37">
        <v>2</v>
      </c>
      <c r="F37">
        <v>810</v>
      </c>
      <c r="G37" s="14">
        <v>45729</v>
      </c>
      <c r="H37" s="14">
        <v>45863</v>
      </c>
      <c r="I37">
        <v>135</v>
      </c>
      <c r="J37" s="15">
        <v>1559</v>
      </c>
      <c r="K37" s="16">
        <f t="shared" si="0"/>
        <v>1.9246913580246914</v>
      </c>
      <c r="L37" s="15">
        <v>1299</v>
      </c>
      <c r="M37" s="16">
        <f t="shared" si="1"/>
        <v>1.6037037037037036</v>
      </c>
      <c r="N37" t="s">
        <v>84</v>
      </c>
    </row>
    <row r="38" spans="1:14" x14ac:dyDescent="0.25">
      <c r="A38" t="s">
        <v>486</v>
      </c>
      <c r="B38" t="s">
        <v>510</v>
      </c>
      <c r="C38" t="s">
        <v>520</v>
      </c>
      <c r="D38">
        <v>1</v>
      </c>
      <c r="E38">
        <v>1</v>
      </c>
      <c r="F38">
        <v>650</v>
      </c>
      <c r="G38" s="14">
        <v>45832</v>
      </c>
      <c r="H38" s="14">
        <v>45865</v>
      </c>
      <c r="I38">
        <v>34</v>
      </c>
      <c r="J38" s="15">
        <v>1180</v>
      </c>
      <c r="K38" s="16">
        <f t="shared" si="0"/>
        <v>1.8153846153846154</v>
      </c>
      <c r="L38" s="15">
        <v>998</v>
      </c>
      <c r="M38" s="16">
        <f t="shared" si="1"/>
        <v>1.5353846153846153</v>
      </c>
      <c r="N38" t="s">
        <v>84</v>
      </c>
    </row>
    <row r="39" spans="1:14" x14ac:dyDescent="0.25">
      <c r="A39" t="s">
        <v>486</v>
      </c>
      <c r="B39" t="s">
        <v>521</v>
      </c>
      <c r="C39" t="s">
        <v>522</v>
      </c>
      <c r="D39">
        <v>2</v>
      </c>
      <c r="E39">
        <v>2</v>
      </c>
      <c r="F39">
        <v>1000</v>
      </c>
      <c r="G39" s="14">
        <v>45837</v>
      </c>
      <c r="H39" s="14">
        <v>45865</v>
      </c>
      <c r="I39">
        <v>29</v>
      </c>
      <c r="J39" s="15">
        <v>1457</v>
      </c>
      <c r="K39" s="16">
        <f t="shared" si="0"/>
        <v>1.4570000000000001</v>
      </c>
      <c r="L39" s="15">
        <v>1233</v>
      </c>
      <c r="M39" s="16">
        <f t="shared" si="1"/>
        <v>1.2330000000000001</v>
      </c>
      <c r="N39" t="s">
        <v>84</v>
      </c>
    </row>
    <row r="40" spans="1:14" x14ac:dyDescent="0.25">
      <c r="A40" t="s">
        <v>457</v>
      </c>
      <c r="B40" t="s">
        <v>523</v>
      </c>
      <c r="C40" t="s">
        <v>524</v>
      </c>
      <c r="D40">
        <v>2</v>
      </c>
      <c r="E40">
        <v>2</v>
      </c>
      <c r="F40">
        <v>1001</v>
      </c>
      <c r="G40" s="14">
        <v>45853</v>
      </c>
      <c r="H40" s="14">
        <v>45865</v>
      </c>
      <c r="I40">
        <v>13</v>
      </c>
      <c r="J40" s="15">
        <v>1392</v>
      </c>
      <c r="K40" s="16">
        <f t="shared" si="0"/>
        <v>1.3906093906093906</v>
      </c>
      <c r="L40" s="15">
        <v>1221</v>
      </c>
      <c r="M40" s="16">
        <f t="shared" si="1"/>
        <v>1.2197802197802199</v>
      </c>
      <c r="N40" t="s">
        <v>84</v>
      </c>
    </row>
    <row r="41" spans="1:14" x14ac:dyDescent="0.25">
      <c r="A41" t="s">
        <v>457</v>
      </c>
      <c r="B41" t="s">
        <v>525</v>
      </c>
      <c r="C41" t="s">
        <v>526</v>
      </c>
      <c r="D41">
        <v>2</v>
      </c>
      <c r="E41">
        <v>2</v>
      </c>
      <c r="F41">
        <v>1001</v>
      </c>
      <c r="G41" s="14">
        <v>45860</v>
      </c>
      <c r="H41" s="14">
        <v>45865</v>
      </c>
      <c r="I41">
        <v>6</v>
      </c>
      <c r="J41" s="15">
        <v>1447</v>
      </c>
      <c r="K41" s="16">
        <f t="shared" si="0"/>
        <v>1.4455544455544456</v>
      </c>
      <c r="L41" s="15">
        <v>1269</v>
      </c>
      <c r="M41" s="16">
        <f t="shared" si="1"/>
        <v>1.2677322677322678</v>
      </c>
      <c r="N41" t="s">
        <v>84</v>
      </c>
    </row>
    <row r="42" spans="1:14" x14ac:dyDescent="0.25">
      <c r="A42" t="s">
        <v>457</v>
      </c>
      <c r="B42" t="s">
        <v>458</v>
      </c>
      <c r="C42" t="s">
        <v>527</v>
      </c>
      <c r="D42">
        <v>1</v>
      </c>
      <c r="E42">
        <v>1</v>
      </c>
      <c r="F42">
        <v>762</v>
      </c>
      <c r="G42" s="14">
        <v>45787</v>
      </c>
      <c r="H42" s="14">
        <v>45867</v>
      </c>
      <c r="I42">
        <v>81</v>
      </c>
      <c r="J42" s="15">
        <v>1293</v>
      </c>
      <c r="K42" s="16">
        <f t="shared" si="0"/>
        <v>1.6968503937007875</v>
      </c>
      <c r="L42" s="15">
        <v>1094</v>
      </c>
      <c r="M42" s="16">
        <f t="shared" si="1"/>
        <v>1.4356955380577427</v>
      </c>
      <c r="N42" t="s">
        <v>84</v>
      </c>
    </row>
    <row r="43" spans="1:14" x14ac:dyDescent="0.25">
      <c r="A43" t="s">
        <v>472</v>
      </c>
      <c r="B43" t="s">
        <v>473</v>
      </c>
      <c r="C43" t="s">
        <v>528</v>
      </c>
      <c r="D43">
        <v>2</v>
      </c>
      <c r="E43">
        <v>1</v>
      </c>
      <c r="F43">
        <v>800</v>
      </c>
      <c r="G43" s="14">
        <v>45848</v>
      </c>
      <c r="H43" s="14">
        <v>45868</v>
      </c>
      <c r="I43">
        <v>21</v>
      </c>
      <c r="J43" s="15">
        <v>1548</v>
      </c>
      <c r="K43" s="16">
        <f t="shared" si="0"/>
        <v>1.9350000000000001</v>
      </c>
      <c r="L43" s="15">
        <v>1327</v>
      </c>
      <c r="M43" s="16">
        <f t="shared" si="1"/>
        <v>1.6587499999999999</v>
      </c>
      <c r="N43" t="s">
        <v>84</v>
      </c>
    </row>
    <row r="44" spans="1:14" x14ac:dyDescent="0.25">
      <c r="A44" t="s">
        <v>462</v>
      </c>
      <c r="B44" t="s">
        <v>470</v>
      </c>
      <c r="C44" t="s">
        <v>529</v>
      </c>
      <c r="D44">
        <v>1</v>
      </c>
      <c r="E44">
        <v>1</v>
      </c>
      <c r="F44">
        <v>732</v>
      </c>
      <c r="G44" s="14">
        <v>45765</v>
      </c>
      <c r="H44" s="14">
        <v>45871</v>
      </c>
      <c r="I44">
        <v>107</v>
      </c>
      <c r="J44" s="15">
        <v>1475</v>
      </c>
      <c r="K44" s="16">
        <f t="shared" si="0"/>
        <v>2.0150273224043715</v>
      </c>
      <c r="L44" s="15">
        <v>1229</v>
      </c>
      <c r="M44" s="16">
        <f t="shared" si="1"/>
        <v>1.6789617486338797</v>
      </c>
      <c r="N44" t="s">
        <v>115</v>
      </c>
    </row>
    <row r="45" spans="1:14" x14ac:dyDescent="0.25">
      <c r="A45" t="s">
        <v>462</v>
      </c>
      <c r="B45" t="s">
        <v>530</v>
      </c>
      <c r="C45" t="s">
        <v>531</v>
      </c>
      <c r="D45">
        <v>1</v>
      </c>
      <c r="E45">
        <v>1</v>
      </c>
      <c r="F45">
        <v>602</v>
      </c>
      <c r="G45" s="14">
        <v>45835</v>
      </c>
      <c r="H45" s="14">
        <v>45873</v>
      </c>
      <c r="I45">
        <v>39</v>
      </c>
      <c r="J45" s="15">
        <v>1575</v>
      </c>
      <c r="K45" s="16">
        <f t="shared" si="0"/>
        <v>2.6162790697674421</v>
      </c>
      <c r="L45" s="15">
        <v>1312</v>
      </c>
      <c r="M45" s="16">
        <f t="shared" si="1"/>
        <v>2.1794019933554818</v>
      </c>
      <c r="N45" t="s">
        <v>115</v>
      </c>
    </row>
    <row r="46" spans="1:14" x14ac:dyDescent="0.25">
      <c r="A46" t="s">
        <v>454</v>
      </c>
      <c r="B46" t="s">
        <v>494</v>
      </c>
      <c r="C46" t="s">
        <v>532</v>
      </c>
      <c r="D46">
        <v>2</v>
      </c>
      <c r="E46">
        <v>2</v>
      </c>
      <c r="F46">
        <v>1001</v>
      </c>
      <c r="G46" s="14">
        <v>45861</v>
      </c>
      <c r="H46" s="14">
        <v>45873</v>
      </c>
      <c r="I46">
        <v>13</v>
      </c>
      <c r="J46" s="15">
        <v>1600</v>
      </c>
      <c r="K46" s="16">
        <f t="shared" si="0"/>
        <v>1.5984015984015985</v>
      </c>
      <c r="L46" s="15">
        <v>1600</v>
      </c>
      <c r="M46" s="16">
        <f t="shared" si="1"/>
        <v>1.5984015984015985</v>
      </c>
      <c r="N46" t="s">
        <v>115</v>
      </c>
    </row>
    <row r="47" spans="1:14" x14ac:dyDescent="0.25">
      <c r="A47" t="s">
        <v>451</v>
      </c>
      <c r="B47" t="s">
        <v>533</v>
      </c>
      <c r="C47" t="s">
        <v>534</v>
      </c>
      <c r="D47">
        <v>1</v>
      </c>
      <c r="E47">
        <v>1</v>
      </c>
      <c r="F47">
        <v>600</v>
      </c>
      <c r="G47" s="14">
        <v>45841</v>
      </c>
      <c r="H47" s="14">
        <v>45874</v>
      </c>
      <c r="I47">
        <v>34</v>
      </c>
      <c r="J47" s="15">
        <v>1325</v>
      </c>
      <c r="K47" s="16">
        <f t="shared" si="0"/>
        <v>2.2083333333333335</v>
      </c>
      <c r="L47" s="15">
        <v>1104</v>
      </c>
      <c r="M47" s="16">
        <f t="shared" si="1"/>
        <v>1.84</v>
      </c>
      <c r="N47" t="s">
        <v>115</v>
      </c>
    </row>
    <row r="48" spans="1:14" x14ac:dyDescent="0.25">
      <c r="A48" t="s">
        <v>451</v>
      </c>
      <c r="B48" t="s">
        <v>460</v>
      </c>
      <c r="C48" t="s">
        <v>535</v>
      </c>
      <c r="D48">
        <v>1</v>
      </c>
      <c r="E48">
        <v>1</v>
      </c>
      <c r="F48">
        <v>726</v>
      </c>
      <c r="G48" s="14">
        <v>45799</v>
      </c>
      <c r="H48" s="14">
        <v>45874</v>
      </c>
      <c r="I48">
        <v>76</v>
      </c>
      <c r="J48" s="15">
        <v>1489</v>
      </c>
      <c r="K48" s="16">
        <f t="shared" si="0"/>
        <v>2.0509641873278235</v>
      </c>
      <c r="L48" s="15">
        <v>1241</v>
      </c>
      <c r="M48" s="16">
        <f t="shared" si="1"/>
        <v>1.7093663911845729</v>
      </c>
      <c r="N48" t="s">
        <v>115</v>
      </c>
    </row>
    <row r="49" spans="1:14" x14ac:dyDescent="0.25">
      <c r="A49" t="s">
        <v>451</v>
      </c>
      <c r="B49" t="s">
        <v>468</v>
      </c>
      <c r="C49" t="s">
        <v>536</v>
      </c>
      <c r="D49">
        <v>2</v>
      </c>
      <c r="E49">
        <v>2</v>
      </c>
      <c r="F49">
        <v>810</v>
      </c>
      <c r="G49" s="14">
        <v>45846</v>
      </c>
      <c r="H49" s="14">
        <v>45874</v>
      </c>
      <c r="I49">
        <v>29</v>
      </c>
      <c r="J49" s="15">
        <v>1559</v>
      </c>
      <c r="K49" s="16">
        <f t="shared" si="0"/>
        <v>1.9246913580246914</v>
      </c>
      <c r="L49" s="15">
        <v>1299</v>
      </c>
      <c r="M49" s="16">
        <f t="shared" si="1"/>
        <v>1.6037037037037036</v>
      </c>
      <c r="N49" t="s">
        <v>115</v>
      </c>
    </row>
    <row r="50" spans="1:14" x14ac:dyDescent="0.25">
      <c r="A50" t="s">
        <v>451</v>
      </c>
      <c r="B50" t="s">
        <v>468</v>
      </c>
      <c r="C50" t="s">
        <v>537</v>
      </c>
      <c r="D50">
        <v>2</v>
      </c>
      <c r="E50">
        <v>2</v>
      </c>
      <c r="F50">
        <v>810</v>
      </c>
      <c r="G50" s="14">
        <v>45822</v>
      </c>
      <c r="H50" s="14">
        <v>45874</v>
      </c>
      <c r="I50">
        <v>53</v>
      </c>
      <c r="J50" s="15">
        <v>1559</v>
      </c>
      <c r="K50" s="16">
        <f t="shared" si="0"/>
        <v>1.9246913580246914</v>
      </c>
      <c r="L50" s="15">
        <v>1299</v>
      </c>
      <c r="M50" s="16">
        <f t="shared" si="1"/>
        <v>1.6037037037037036</v>
      </c>
      <c r="N50" t="s">
        <v>115</v>
      </c>
    </row>
    <row r="51" spans="1:14" x14ac:dyDescent="0.25">
      <c r="A51" t="s">
        <v>462</v>
      </c>
      <c r="B51" t="s">
        <v>463</v>
      </c>
      <c r="C51" t="s">
        <v>538</v>
      </c>
      <c r="D51">
        <v>2</v>
      </c>
      <c r="E51">
        <v>2</v>
      </c>
      <c r="F51">
        <v>958</v>
      </c>
      <c r="G51" s="14">
        <v>45811</v>
      </c>
      <c r="H51" s="14">
        <v>45874</v>
      </c>
      <c r="I51">
        <v>64</v>
      </c>
      <c r="J51" s="15">
        <v>1650</v>
      </c>
      <c r="K51" s="16">
        <f t="shared" si="0"/>
        <v>1.7223382045929019</v>
      </c>
      <c r="L51" s="15">
        <v>1650</v>
      </c>
      <c r="M51" s="16">
        <f t="shared" si="1"/>
        <v>1.7223382045929019</v>
      </c>
      <c r="N51" t="s">
        <v>115</v>
      </c>
    </row>
    <row r="52" spans="1:14" x14ac:dyDescent="0.25">
      <c r="A52" t="s">
        <v>472</v>
      </c>
      <c r="B52" t="s">
        <v>496</v>
      </c>
      <c r="C52" t="s">
        <v>539</v>
      </c>
      <c r="D52">
        <v>1</v>
      </c>
      <c r="E52">
        <v>1</v>
      </c>
      <c r="F52">
        <v>625</v>
      </c>
      <c r="G52" s="14">
        <v>45778</v>
      </c>
      <c r="H52" s="14">
        <v>45874</v>
      </c>
      <c r="I52">
        <v>97</v>
      </c>
      <c r="J52" s="15">
        <v>1198</v>
      </c>
      <c r="K52" s="16">
        <f t="shared" si="0"/>
        <v>1.9168000000000001</v>
      </c>
      <c r="L52" s="15">
        <v>1014</v>
      </c>
      <c r="M52" s="16">
        <f t="shared" si="1"/>
        <v>1.6224000000000001</v>
      </c>
      <c r="N52" t="s">
        <v>115</v>
      </c>
    </row>
    <row r="53" spans="1:14" x14ac:dyDescent="0.25">
      <c r="A53" t="s">
        <v>457</v>
      </c>
      <c r="B53" t="s">
        <v>525</v>
      </c>
      <c r="C53" t="s">
        <v>540</v>
      </c>
      <c r="D53">
        <v>2</v>
      </c>
      <c r="E53">
        <v>2</v>
      </c>
      <c r="F53">
        <v>1001</v>
      </c>
      <c r="G53" s="14">
        <v>45779</v>
      </c>
      <c r="H53" s="14">
        <v>45874</v>
      </c>
      <c r="I53">
        <v>96</v>
      </c>
      <c r="J53" s="15">
        <v>1462</v>
      </c>
      <c r="K53" s="16">
        <f t="shared" si="0"/>
        <v>1.4605394605394606</v>
      </c>
      <c r="L53" s="15">
        <v>1282</v>
      </c>
      <c r="M53" s="16">
        <f t="shared" si="1"/>
        <v>1.2807192807192807</v>
      </c>
      <c r="N53" t="s">
        <v>115</v>
      </c>
    </row>
    <row r="54" spans="1:14" x14ac:dyDescent="0.25">
      <c r="A54" t="s">
        <v>483</v>
      </c>
      <c r="B54" t="s">
        <v>541</v>
      </c>
      <c r="D54">
        <v>1</v>
      </c>
      <c r="E54">
        <v>1</v>
      </c>
      <c r="F54">
        <v>702</v>
      </c>
      <c r="G54" s="14">
        <v>45828</v>
      </c>
      <c r="H54" s="14">
        <v>45876</v>
      </c>
      <c r="I54">
        <v>49</v>
      </c>
      <c r="J54" s="15">
        <v>1077</v>
      </c>
      <c r="K54" s="16">
        <f t="shared" si="0"/>
        <v>1.5341880341880343</v>
      </c>
      <c r="L54" s="15">
        <v>1077</v>
      </c>
      <c r="M54" s="16">
        <f t="shared" si="1"/>
        <v>1.5341880341880343</v>
      </c>
      <c r="N54" t="s">
        <v>115</v>
      </c>
    </row>
    <row r="55" spans="1:14" x14ac:dyDescent="0.25">
      <c r="A55" t="s">
        <v>542</v>
      </c>
      <c r="B55" t="s">
        <v>543</v>
      </c>
      <c r="C55" t="s">
        <v>544</v>
      </c>
      <c r="D55">
        <v>2</v>
      </c>
      <c r="E55">
        <v>2</v>
      </c>
      <c r="F55">
        <v>1016</v>
      </c>
      <c r="G55" s="14">
        <v>45872</v>
      </c>
      <c r="H55" s="14">
        <v>45876</v>
      </c>
      <c r="I55">
        <v>5</v>
      </c>
      <c r="J55" s="15">
        <v>553</v>
      </c>
      <c r="K55" s="16">
        <f t="shared" si="0"/>
        <v>0.5442913385826772</v>
      </c>
      <c r="L55" s="15">
        <v>553</v>
      </c>
      <c r="M55" s="16">
        <f t="shared" si="1"/>
        <v>0.5442913385826772</v>
      </c>
      <c r="N55" t="s">
        <v>115</v>
      </c>
    </row>
    <row r="56" spans="1:14" x14ac:dyDescent="0.25">
      <c r="A56" t="s">
        <v>451</v>
      </c>
      <c r="B56" t="s">
        <v>460</v>
      </c>
      <c r="C56" t="s">
        <v>545</v>
      </c>
      <c r="D56">
        <v>1</v>
      </c>
      <c r="E56">
        <v>1</v>
      </c>
      <c r="F56">
        <v>726</v>
      </c>
      <c r="G56" s="14">
        <v>45855</v>
      </c>
      <c r="H56" s="14">
        <v>45877</v>
      </c>
      <c r="I56">
        <v>23</v>
      </c>
      <c r="J56" s="15">
        <v>1489</v>
      </c>
      <c r="K56" s="16">
        <f t="shared" si="0"/>
        <v>2.0509641873278235</v>
      </c>
      <c r="L56" s="15">
        <v>1241</v>
      </c>
      <c r="M56" s="16">
        <f t="shared" si="1"/>
        <v>1.7093663911845729</v>
      </c>
      <c r="N56" t="s">
        <v>115</v>
      </c>
    </row>
    <row r="57" spans="1:14" x14ac:dyDescent="0.25">
      <c r="A57" t="s">
        <v>454</v>
      </c>
      <c r="B57" t="s">
        <v>481</v>
      </c>
      <c r="C57" t="s">
        <v>546</v>
      </c>
      <c r="D57">
        <v>2</v>
      </c>
      <c r="E57">
        <v>2</v>
      </c>
      <c r="F57">
        <v>1001</v>
      </c>
      <c r="G57" s="14">
        <v>45784</v>
      </c>
      <c r="H57" s="14">
        <v>45877</v>
      </c>
      <c r="I57">
        <v>94</v>
      </c>
      <c r="J57" s="15">
        <v>1500</v>
      </c>
      <c r="K57" s="16">
        <f t="shared" si="0"/>
        <v>1.4985014985014986</v>
      </c>
      <c r="L57" s="15">
        <v>1500</v>
      </c>
      <c r="M57" s="16">
        <f t="shared" si="1"/>
        <v>1.4985014985014986</v>
      </c>
      <c r="N57" t="s">
        <v>115</v>
      </c>
    </row>
    <row r="58" spans="1:14" x14ac:dyDescent="0.25">
      <c r="A58" t="s">
        <v>454</v>
      </c>
      <c r="B58" t="s">
        <v>481</v>
      </c>
      <c r="C58" t="s">
        <v>547</v>
      </c>
      <c r="D58">
        <v>2</v>
      </c>
      <c r="E58">
        <v>2</v>
      </c>
      <c r="F58">
        <v>1001</v>
      </c>
      <c r="G58" s="14">
        <v>45873</v>
      </c>
      <c r="H58" s="14">
        <v>45877</v>
      </c>
      <c r="I58">
        <v>5</v>
      </c>
      <c r="J58" s="15">
        <v>1665</v>
      </c>
      <c r="K58" s="16">
        <f t="shared" si="0"/>
        <v>1.6633366633366633</v>
      </c>
      <c r="L58" s="15">
        <v>1665</v>
      </c>
      <c r="M58" s="16">
        <f t="shared" si="1"/>
        <v>1.6633366633366633</v>
      </c>
      <c r="N58" t="s">
        <v>115</v>
      </c>
    </row>
    <row r="59" spans="1:14" x14ac:dyDescent="0.25">
      <c r="A59" t="s">
        <v>472</v>
      </c>
      <c r="B59" t="s">
        <v>496</v>
      </c>
      <c r="C59" t="s">
        <v>548</v>
      </c>
      <c r="D59">
        <v>1</v>
      </c>
      <c r="E59">
        <v>1</v>
      </c>
      <c r="F59">
        <v>625</v>
      </c>
      <c r="G59" s="14">
        <v>45804</v>
      </c>
      <c r="H59" s="14">
        <v>45877</v>
      </c>
      <c r="I59">
        <v>74</v>
      </c>
      <c r="J59" s="15">
        <v>1198</v>
      </c>
      <c r="K59" s="16">
        <f t="shared" si="0"/>
        <v>1.9168000000000001</v>
      </c>
      <c r="L59" s="15">
        <v>1027</v>
      </c>
      <c r="M59" s="16">
        <f t="shared" si="1"/>
        <v>1.6432</v>
      </c>
      <c r="N59" t="s">
        <v>115</v>
      </c>
    </row>
    <row r="60" spans="1:14" x14ac:dyDescent="0.25">
      <c r="A60" t="s">
        <v>542</v>
      </c>
      <c r="B60" t="s">
        <v>543</v>
      </c>
      <c r="C60" t="s">
        <v>549</v>
      </c>
      <c r="D60">
        <v>2</v>
      </c>
      <c r="E60">
        <v>2</v>
      </c>
      <c r="F60">
        <v>1016</v>
      </c>
      <c r="G60" s="14">
        <v>45838</v>
      </c>
      <c r="H60" s="14">
        <v>45877</v>
      </c>
      <c r="I60">
        <v>40</v>
      </c>
      <c r="J60" s="15">
        <v>1044</v>
      </c>
      <c r="K60" s="16">
        <f t="shared" si="0"/>
        <v>1.0275590551181102</v>
      </c>
      <c r="L60" s="15">
        <v>1044</v>
      </c>
      <c r="M60" s="16">
        <f t="shared" si="1"/>
        <v>1.0275590551181102</v>
      </c>
      <c r="N60" t="s">
        <v>115</v>
      </c>
    </row>
    <row r="61" spans="1:14" x14ac:dyDescent="0.25">
      <c r="A61" t="s">
        <v>542</v>
      </c>
      <c r="B61" t="s">
        <v>543</v>
      </c>
      <c r="C61" t="s">
        <v>550</v>
      </c>
      <c r="D61">
        <v>2</v>
      </c>
      <c r="E61">
        <v>2</v>
      </c>
      <c r="F61">
        <v>1016</v>
      </c>
      <c r="G61" s="14">
        <v>45876</v>
      </c>
      <c r="H61" s="14">
        <v>45877</v>
      </c>
      <c r="I61">
        <v>2</v>
      </c>
      <c r="J61" s="15">
        <v>1059</v>
      </c>
      <c r="K61" s="16">
        <f t="shared" si="0"/>
        <v>1.0423228346456692</v>
      </c>
      <c r="L61" s="15">
        <v>1059</v>
      </c>
      <c r="M61" s="16">
        <f t="shared" si="1"/>
        <v>1.0423228346456692</v>
      </c>
      <c r="N61" t="s">
        <v>115</v>
      </c>
    </row>
    <row r="62" spans="1:14" x14ac:dyDescent="0.25">
      <c r="A62" t="s">
        <v>465</v>
      </c>
      <c r="B62" t="s">
        <v>551</v>
      </c>
      <c r="C62" t="s">
        <v>552</v>
      </c>
      <c r="D62">
        <v>1</v>
      </c>
      <c r="E62">
        <v>1</v>
      </c>
      <c r="F62">
        <v>757</v>
      </c>
      <c r="G62" s="14">
        <v>45852</v>
      </c>
      <c r="H62" s="14">
        <v>45878</v>
      </c>
      <c r="I62">
        <v>27</v>
      </c>
      <c r="J62" s="15">
        <v>1321</v>
      </c>
      <c r="K62" s="16">
        <f t="shared" si="0"/>
        <v>1.7450462351387055</v>
      </c>
      <c r="L62" s="15">
        <v>1118</v>
      </c>
      <c r="M62" s="16">
        <f t="shared" si="1"/>
        <v>1.4768824306472919</v>
      </c>
      <c r="N62" t="s">
        <v>115</v>
      </c>
    </row>
    <row r="63" spans="1:14" x14ac:dyDescent="0.25">
      <c r="A63" t="s">
        <v>462</v>
      </c>
      <c r="B63" t="s">
        <v>553</v>
      </c>
      <c r="C63" t="s">
        <v>554</v>
      </c>
      <c r="D63">
        <v>3</v>
      </c>
      <c r="E63">
        <v>2</v>
      </c>
      <c r="F63">
        <v>1166</v>
      </c>
      <c r="G63" s="14">
        <v>45835</v>
      </c>
      <c r="H63" s="14">
        <v>45880</v>
      </c>
      <c r="I63">
        <v>46</v>
      </c>
      <c r="J63" s="15">
        <v>2100</v>
      </c>
      <c r="K63" s="16">
        <f t="shared" si="0"/>
        <v>1.8010291595197256</v>
      </c>
      <c r="L63" s="15">
        <v>1750</v>
      </c>
      <c r="M63" s="16">
        <f t="shared" si="1"/>
        <v>1.5008576329331047</v>
      </c>
      <c r="N63" t="s">
        <v>115</v>
      </c>
    </row>
    <row r="64" spans="1:14" x14ac:dyDescent="0.25">
      <c r="A64" t="s">
        <v>465</v>
      </c>
      <c r="B64" t="s">
        <v>551</v>
      </c>
      <c r="C64" t="s">
        <v>555</v>
      </c>
      <c r="D64">
        <v>1</v>
      </c>
      <c r="E64">
        <v>1</v>
      </c>
      <c r="F64">
        <v>757</v>
      </c>
      <c r="G64" s="14">
        <v>45822</v>
      </c>
      <c r="H64" s="14">
        <v>45881</v>
      </c>
      <c r="I64">
        <v>60</v>
      </c>
      <c r="J64" s="15">
        <v>1316</v>
      </c>
      <c r="K64" s="16">
        <f t="shared" si="0"/>
        <v>1.7384412153236459</v>
      </c>
      <c r="L64" s="15">
        <v>1113</v>
      </c>
      <c r="M64" s="16">
        <f t="shared" si="1"/>
        <v>1.4702774108322325</v>
      </c>
      <c r="N64" t="s">
        <v>115</v>
      </c>
    </row>
    <row r="65" spans="1:14" x14ac:dyDescent="0.25">
      <c r="A65" t="s">
        <v>451</v>
      </c>
      <c r="B65" t="s">
        <v>533</v>
      </c>
      <c r="C65" t="s">
        <v>556</v>
      </c>
      <c r="D65">
        <v>1</v>
      </c>
      <c r="E65">
        <v>1</v>
      </c>
      <c r="F65">
        <v>600</v>
      </c>
      <c r="G65" s="14">
        <v>45727</v>
      </c>
      <c r="H65" s="14">
        <v>45882</v>
      </c>
      <c r="I65">
        <v>156</v>
      </c>
      <c r="J65" s="15">
        <v>1325</v>
      </c>
      <c r="K65" s="16">
        <f t="shared" si="0"/>
        <v>2.2083333333333335</v>
      </c>
      <c r="L65" s="15">
        <v>1104</v>
      </c>
      <c r="M65" s="16">
        <f t="shared" si="1"/>
        <v>1.84</v>
      </c>
      <c r="N65" t="s">
        <v>115</v>
      </c>
    </row>
    <row r="66" spans="1:14" x14ac:dyDescent="0.25">
      <c r="A66" t="s">
        <v>451</v>
      </c>
      <c r="B66" t="s">
        <v>557</v>
      </c>
      <c r="C66" t="s">
        <v>558</v>
      </c>
      <c r="D66">
        <v>2</v>
      </c>
      <c r="E66">
        <v>2</v>
      </c>
      <c r="F66">
        <v>885</v>
      </c>
      <c r="G66" s="14">
        <v>45820</v>
      </c>
      <c r="H66" s="14">
        <v>45882</v>
      </c>
      <c r="I66">
        <v>63</v>
      </c>
      <c r="J66" s="15">
        <v>1669</v>
      </c>
      <c r="K66" s="16">
        <f t="shared" ref="K66:K129" si="2">IFERROR(J66/F66,0)</f>
        <v>1.8858757062146894</v>
      </c>
      <c r="L66" s="15">
        <v>1391</v>
      </c>
      <c r="M66" s="16">
        <f t="shared" ref="M66:M129" si="3">IFERROR(L66/F66,0)</f>
        <v>1.5717514124293785</v>
      </c>
      <c r="N66" t="s">
        <v>115</v>
      </c>
    </row>
    <row r="67" spans="1:14" x14ac:dyDescent="0.25">
      <c r="A67" t="s">
        <v>472</v>
      </c>
      <c r="B67" t="s">
        <v>496</v>
      </c>
      <c r="C67" t="s">
        <v>559</v>
      </c>
      <c r="D67">
        <v>1</v>
      </c>
      <c r="E67">
        <v>1</v>
      </c>
      <c r="F67">
        <v>625</v>
      </c>
      <c r="G67" s="14">
        <v>45833</v>
      </c>
      <c r="H67" s="14">
        <v>45882</v>
      </c>
      <c r="I67">
        <v>50</v>
      </c>
      <c r="J67" s="15">
        <v>1198</v>
      </c>
      <c r="K67" s="16">
        <f t="shared" si="2"/>
        <v>1.9168000000000001</v>
      </c>
      <c r="L67" s="15">
        <v>1027</v>
      </c>
      <c r="M67" s="16">
        <f t="shared" si="3"/>
        <v>1.6432</v>
      </c>
      <c r="N67" t="s">
        <v>115</v>
      </c>
    </row>
    <row r="68" spans="1:14" x14ac:dyDescent="0.25">
      <c r="A68" t="s">
        <v>486</v>
      </c>
      <c r="B68" t="s">
        <v>510</v>
      </c>
      <c r="C68" t="s">
        <v>560</v>
      </c>
      <c r="D68">
        <v>1</v>
      </c>
      <c r="E68">
        <v>1</v>
      </c>
      <c r="F68">
        <v>650</v>
      </c>
      <c r="G68" s="14">
        <v>45647</v>
      </c>
      <c r="H68" s="14">
        <v>45882</v>
      </c>
      <c r="I68">
        <v>236</v>
      </c>
      <c r="J68" s="15">
        <v>1475</v>
      </c>
      <c r="K68" s="16">
        <f t="shared" si="2"/>
        <v>2.2692307692307692</v>
      </c>
      <c r="L68" s="15">
        <v>1248</v>
      </c>
      <c r="M68" s="16">
        <f t="shared" si="3"/>
        <v>1.92</v>
      </c>
      <c r="N68" t="s">
        <v>115</v>
      </c>
    </row>
    <row r="69" spans="1:14" x14ac:dyDescent="0.25">
      <c r="A69" t="s">
        <v>486</v>
      </c>
      <c r="B69" t="s">
        <v>521</v>
      </c>
      <c r="C69" t="s">
        <v>561</v>
      </c>
      <c r="D69">
        <v>2</v>
      </c>
      <c r="E69">
        <v>2</v>
      </c>
      <c r="F69">
        <v>1000</v>
      </c>
      <c r="G69" s="14">
        <v>45813</v>
      </c>
      <c r="H69" s="14">
        <v>45882</v>
      </c>
      <c r="I69">
        <v>70</v>
      </c>
      <c r="J69" s="15">
        <v>1417</v>
      </c>
      <c r="K69" s="16">
        <f t="shared" si="2"/>
        <v>1.417</v>
      </c>
      <c r="L69" s="15">
        <v>1199</v>
      </c>
      <c r="M69" s="16">
        <f t="shared" si="3"/>
        <v>1.1990000000000001</v>
      </c>
      <c r="N69" t="s">
        <v>115</v>
      </c>
    </row>
    <row r="70" spans="1:14" x14ac:dyDescent="0.25">
      <c r="A70" t="s">
        <v>457</v>
      </c>
      <c r="B70" t="s">
        <v>562</v>
      </c>
      <c r="C70" t="s">
        <v>563</v>
      </c>
      <c r="D70">
        <v>2</v>
      </c>
      <c r="E70">
        <v>2</v>
      </c>
      <c r="F70">
        <v>1001</v>
      </c>
      <c r="G70" s="14">
        <v>45876</v>
      </c>
      <c r="H70" s="14">
        <v>45882</v>
      </c>
      <c r="I70">
        <v>7</v>
      </c>
      <c r="J70" s="15">
        <v>1352</v>
      </c>
      <c r="K70" s="16">
        <f t="shared" si="2"/>
        <v>1.3506493506493507</v>
      </c>
      <c r="L70" s="15">
        <v>1174</v>
      </c>
      <c r="M70" s="16">
        <f t="shared" si="3"/>
        <v>1.1728271728271729</v>
      </c>
      <c r="N70" t="s">
        <v>115</v>
      </c>
    </row>
    <row r="71" spans="1:14" x14ac:dyDescent="0.25">
      <c r="A71" t="s">
        <v>483</v>
      </c>
      <c r="B71" t="s">
        <v>541</v>
      </c>
      <c r="C71" t="s">
        <v>564</v>
      </c>
      <c r="D71">
        <v>1</v>
      </c>
      <c r="E71">
        <v>1</v>
      </c>
      <c r="F71">
        <v>702</v>
      </c>
      <c r="G71" s="14">
        <v>45872</v>
      </c>
      <c r="H71" s="14">
        <v>45882</v>
      </c>
      <c r="I71">
        <v>11</v>
      </c>
      <c r="J71" s="15">
        <v>903</v>
      </c>
      <c r="K71" s="16">
        <f t="shared" si="2"/>
        <v>1.2863247863247864</v>
      </c>
      <c r="L71" s="15">
        <v>903</v>
      </c>
      <c r="M71" s="16">
        <f t="shared" si="3"/>
        <v>1.2863247863247864</v>
      </c>
      <c r="N71" t="s">
        <v>115</v>
      </c>
    </row>
    <row r="72" spans="1:14" x14ac:dyDescent="0.25">
      <c r="A72" t="s">
        <v>472</v>
      </c>
      <c r="B72" t="s">
        <v>473</v>
      </c>
      <c r="C72" t="s">
        <v>565</v>
      </c>
      <c r="D72">
        <v>2</v>
      </c>
      <c r="E72">
        <v>1</v>
      </c>
      <c r="F72">
        <v>800</v>
      </c>
      <c r="G72" s="14">
        <v>45846</v>
      </c>
      <c r="H72" s="14">
        <v>45883</v>
      </c>
      <c r="I72">
        <v>38</v>
      </c>
      <c r="J72" s="15">
        <v>1398</v>
      </c>
      <c r="K72" s="16">
        <f t="shared" si="2"/>
        <v>1.7475000000000001</v>
      </c>
      <c r="L72" s="15">
        <v>1198</v>
      </c>
      <c r="M72" s="16">
        <f t="shared" si="3"/>
        <v>1.4975000000000001</v>
      </c>
      <c r="N72" t="s">
        <v>115</v>
      </c>
    </row>
    <row r="73" spans="1:14" x14ac:dyDescent="0.25">
      <c r="A73" t="s">
        <v>486</v>
      </c>
      <c r="B73" t="s">
        <v>521</v>
      </c>
      <c r="C73" t="s">
        <v>566</v>
      </c>
      <c r="D73">
        <v>2</v>
      </c>
      <c r="E73">
        <v>2</v>
      </c>
      <c r="F73">
        <v>1000</v>
      </c>
      <c r="G73" s="14">
        <v>45882</v>
      </c>
      <c r="H73" s="14">
        <v>45883</v>
      </c>
      <c r="I73">
        <v>2</v>
      </c>
      <c r="J73" s="15">
        <v>1432</v>
      </c>
      <c r="K73" s="16">
        <f t="shared" si="2"/>
        <v>1.4319999999999999</v>
      </c>
      <c r="L73" s="15">
        <v>1212</v>
      </c>
      <c r="M73" s="16">
        <f t="shared" si="3"/>
        <v>1.212</v>
      </c>
      <c r="N73" t="s">
        <v>115</v>
      </c>
    </row>
    <row r="74" spans="1:14" x14ac:dyDescent="0.25">
      <c r="A74" t="s">
        <v>465</v>
      </c>
      <c r="B74" t="s">
        <v>567</v>
      </c>
      <c r="C74" t="s">
        <v>568</v>
      </c>
      <c r="D74">
        <v>1</v>
      </c>
      <c r="E74">
        <v>1</v>
      </c>
      <c r="F74">
        <v>757</v>
      </c>
      <c r="G74" s="14">
        <v>45504</v>
      </c>
      <c r="H74" s="14">
        <v>45883</v>
      </c>
      <c r="I74">
        <v>380</v>
      </c>
      <c r="J74" s="15">
        <v>1201</v>
      </c>
      <c r="K74" s="16">
        <f t="shared" si="2"/>
        <v>1.5865257595772788</v>
      </c>
      <c r="L74" s="15">
        <v>1016</v>
      </c>
      <c r="M74" s="16">
        <f t="shared" si="3"/>
        <v>1.3421400264200793</v>
      </c>
      <c r="N74" t="s">
        <v>115</v>
      </c>
    </row>
    <row r="75" spans="1:14" x14ac:dyDescent="0.25">
      <c r="A75" t="s">
        <v>465</v>
      </c>
      <c r="B75" t="s">
        <v>551</v>
      </c>
      <c r="C75" t="s">
        <v>569</v>
      </c>
      <c r="D75">
        <v>1</v>
      </c>
      <c r="E75">
        <v>1</v>
      </c>
      <c r="F75">
        <v>757</v>
      </c>
      <c r="G75" s="14">
        <v>45558</v>
      </c>
      <c r="H75" s="14">
        <v>45885</v>
      </c>
      <c r="I75">
        <v>328</v>
      </c>
      <c r="J75" s="15">
        <v>1301</v>
      </c>
      <c r="K75" s="16">
        <f t="shared" si="2"/>
        <v>1.7186261558784677</v>
      </c>
      <c r="L75" s="15">
        <v>1101</v>
      </c>
      <c r="M75" s="16">
        <f t="shared" si="3"/>
        <v>1.4544253632760897</v>
      </c>
      <c r="N75" t="s">
        <v>115</v>
      </c>
    </row>
    <row r="76" spans="1:14" x14ac:dyDescent="0.25">
      <c r="A76" t="s">
        <v>483</v>
      </c>
      <c r="B76" t="s">
        <v>570</v>
      </c>
      <c r="C76" t="s">
        <v>571</v>
      </c>
      <c r="D76">
        <v>3</v>
      </c>
      <c r="E76">
        <v>2</v>
      </c>
      <c r="F76">
        <v>1143</v>
      </c>
      <c r="G76" s="14">
        <v>45884</v>
      </c>
      <c r="H76" s="14">
        <v>45885</v>
      </c>
      <c r="I76">
        <v>2</v>
      </c>
      <c r="J76" s="15">
        <v>1222</v>
      </c>
      <c r="K76" s="16">
        <f t="shared" si="2"/>
        <v>1.0691163604549432</v>
      </c>
      <c r="L76" s="15">
        <v>1222</v>
      </c>
      <c r="M76" s="16">
        <f t="shared" si="3"/>
        <v>1.0691163604549432</v>
      </c>
      <c r="N76" t="s">
        <v>115</v>
      </c>
    </row>
    <row r="77" spans="1:14" x14ac:dyDescent="0.25">
      <c r="A77" t="s">
        <v>457</v>
      </c>
      <c r="B77" t="s">
        <v>523</v>
      </c>
      <c r="C77" t="s">
        <v>572</v>
      </c>
      <c r="D77">
        <v>2</v>
      </c>
      <c r="E77">
        <v>2</v>
      </c>
      <c r="F77">
        <v>1001</v>
      </c>
      <c r="G77" s="14">
        <v>45861</v>
      </c>
      <c r="H77" s="14">
        <v>45886</v>
      </c>
      <c r="I77">
        <v>26</v>
      </c>
      <c r="J77" s="15">
        <v>1387</v>
      </c>
      <c r="K77" s="16">
        <f t="shared" si="2"/>
        <v>1.3856143856143857</v>
      </c>
      <c r="L77" s="15">
        <v>1216</v>
      </c>
      <c r="M77" s="16">
        <f t="shared" si="3"/>
        <v>1.2147852147852147</v>
      </c>
      <c r="N77" t="s">
        <v>115</v>
      </c>
    </row>
    <row r="78" spans="1:14" x14ac:dyDescent="0.25">
      <c r="A78" t="s">
        <v>462</v>
      </c>
      <c r="B78" t="s">
        <v>463</v>
      </c>
      <c r="C78" t="s">
        <v>573</v>
      </c>
      <c r="D78">
        <v>2</v>
      </c>
      <c r="E78">
        <v>2</v>
      </c>
      <c r="F78">
        <v>958</v>
      </c>
      <c r="G78" s="14">
        <v>45858</v>
      </c>
      <c r="H78" s="14">
        <v>45887</v>
      </c>
      <c r="I78">
        <v>30</v>
      </c>
      <c r="J78" s="15">
        <v>1925</v>
      </c>
      <c r="K78" s="16">
        <f t="shared" si="2"/>
        <v>2.0093945720250521</v>
      </c>
      <c r="L78" s="15">
        <v>1925</v>
      </c>
      <c r="M78" s="16">
        <f t="shared" si="3"/>
        <v>2.0093945720250521</v>
      </c>
      <c r="N78" t="s">
        <v>115</v>
      </c>
    </row>
    <row r="79" spans="1:14" x14ac:dyDescent="0.25">
      <c r="A79" t="s">
        <v>454</v>
      </c>
      <c r="B79" t="s">
        <v>481</v>
      </c>
      <c r="C79" t="s">
        <v>574</v>
      </c>
      <c r="D79">
        <v>2</v>
      </c>
      <c r="E79">
        <v>2</v>
      </c>
      <c r="F79">
        <v>1001</v>
      </c>
      <c r="G79" s="14">
        <v>45818</v>
      </c>
      <c r="H79" s="14">
        <v>45888</v>
      </c>
      <c r="I79">
        <v>71</v>
      </c>
      <c r="J79" s="15">
        <v>1500</v>
      </c>
      <c r="K79" s="16">
        <f t="shared" si="2"/>
        <v>1.4985014985014986</v>
      </c>
      <c r="L79" s="15">
        <v>1500</v>
      </c>
      <c r="M79" s="16">
        <f t="shared" si="3"/>
        <v>1.4985014985014986</v>
      </c>
      <c r="N79" t="s">
        <v>115</v>
      </c>
    </row>
    <row r="80" spans="1:14" x14ac:dyDescent="0.25">
      <c r="A80" t="s">
        <v>457</v>
      </c>
      <c r="B80" t="s">
        <v>458</v>
      </c>
      <c r="C80" t="s">
        <v>575</v>
      </c>
      <c r="D80">
        <v>1</v>
      </c>
      <c r="E80">
        <v>1</v>
      </c>
      <c r="F80">
        <v>762</v>
      </c>
      <c r="G80" s="14">
        <v>45708</v>
      </c>
      <c r="H80" s="14">
        <v>45888</v>
      </c>
      <c r="I80">
        <v>181</v>
      </c>
      <c r="J80" s="15">
        <v>1264</v>
      </c>
      <c r="K80" s="16">
        <f t="shared" si="2"/>
        <v>1.6587926509186353</v>
      </c>
      <c r="L80" s="15">
        <v>1084</v>
      </c>
      <c r="M80" s="16">
        <f t="shared" si="3"/>
        <v>1.4225721784776904</v>
      </c>
      <c r="N80" t="s">
        <v>115</v>
      </c>
    </row>
    <row r="81" spans="1:14" x14ac:dyDescent="0.25">
      <c r="A81" t="s">
        <v>462</v>
      </c>
      <c r="B81" t="s">
        <v>470</v>
      </c>
      <c r="C81" t="s">
        <v>576</v>
      </c>
      <c r="D81">
        <v>1</v>
      </c>
      <c r="E81">
        <v>1</v>
      </c>
      <c r="F81">
        <v>732</v>
      </c>
      <c r="G81" s="14">
        <v>45569</v>
      </c>
      <c r="H81" s="14">
        <v>45889</v>
      </c>
      <c r="I81">
        <v>321</v>
      </c>
      <c r="J81" s="15">
        <v>1600</v>
      </c>
      <c r="K81" s="16">
        <f t="shared" si="2"/>
        <v>2.1857923497267762</v>
      </c>
      <c r="L81" s="15">
        <v>1600</v>
      </c>
      <c r="M81" s="16">
        <f t="shared" si="3"/>
        <v>2.1857923497267762</v>
      </c>
      <c r="N81" t="s">
        <v>115</v>
      </c>
    </row>
    <row r="82" spans="1:14" x14ac:dyDescent="0.25">
      <c r="A82" t="s">
        <v>462</v>
      </c>
      <c r="B82" t="s">
        <v>470</v>
      </c>
      <c r="C82" t="s">
        <v>577</v>
      </c>
      <c r="D82">
        <v>1</v>
      </c>
      <c r="E82">
        <v>1</v>
      </c>
      <c r="F82">
        <v>732</v>
      </c>
      <c r="G82" s="14">
        <v>45835</v>
      </c>
      <c r="H82" s="14">
        <v>45889</v>
      </c>
      <c r="I82">
        <v>55</v>
      </c>
      <c r="J82" s="15">
        <v>1600</v>
      </c>
      <c r="K82" s="16">
        <f t="shared" si="2"/>
        <v>2.1857923497267762</v>
      </c>
      <c r="L82" s="15">
        <v>1600</v>
      </c>
      <c r="M82" s="16">
        <f t="shared" si="3"/>
        <v>2.1857923497267762</v>
      </c>
      <c r="N82" t="s">
        <v>115</v>
      </c>
    </row>
    <row r="83" spans="1:14" x14ac:dyDescent="0.25">
      <c r="A83" t="s">
        <v>462</v>
      </c>
      <c r="B83" t="s">
        <v>463</v>
      </c>
      <c r="C83" t="s">
        <v>578</v>
      </c>
      <c r="D83">
        <v>2</v>
      </c>
      <c r="E83">
        <v>2</v>
      </c>
      <c r="F83">
        <v>958</v>
      </c>
      <c r="G83" s="14">
        <v>45858</v>
      </c>
      <c r="H83" s="14">
        <v>45889</v>
      </c>
      <c r="I83">
        <v>32</v>
      </c>
      <c r="J83" s="15">
        <v>1750</v>
      </c>
      <c r="K83" s="16">
        <f t="shared" si="2"/>
        <v>1.826722338204593</v>
      </c>
      <c r="L83" s="15">
        <v>1750</v>
      </c>
      <c r="M83" s="16">
        <f t="shared" si="3"/>
        <v>1.826722338204593</v>
      </c>
      <c r="N83" t="s">
        <v>115</v>
      </c>
    </row>
    <row r="84" spans="1:14" x14ac:dyDescent="0.25">
      <c r="A84" t="s">
        <v>462</v>
      </c>
      <c r="B84" t="s">
        <v>463</v>
      </c>
      <c r="C84" t="s">
        <v>579</v>
      </c>
      <c r="D84">
        <v>2</v>
      </c>
      <c r="E84">
        <v>2</v>
      </c>
      <c r="F84">
        <v>958</v>
      </c>
      <c r="G84" s="14">
        <v>45875</v>
      </c>
      <c r="H84" s="14">
        <v>45889</v>
      </c>
      <c r="I84">
        <v>15</v>
      </c>
      <c r="J84" s="15">
        <v>1750</v>
      </c>
      <c r="K84" s="16">
        <f t="shared" si="2"/>
        <v>1.826722338204593</v>
      </c>
      <c r="L84" s="15">
        <v>1750</v>
      </c>
      <c r="M84" s="16">
        <f t="shared" si="3"/>
        <v>1.826722338204593</v>
      </c>
      <c r="N84" t="s">
        <v>115</v>
      </c>
    </row>
    <row r="85" spans="1:14" x14ac:dyDescent="0.25">
      <c r="A85" t="s">
        <v>462</v>
      </c>
      <c r="B85" t="s">
        <v>553</v>
      </c>
      <c r="C85" t="s">
        <v>580</v>
      </c>
      <c r="D85">
        <v>3</v>
      </c>
      <c r="E85">
        <v>2</v>
      </c>
      <c r="F85">
        <v>1166</v>
      </c>
      <c r="G85" s="14">
        <v>45811</v>
      </c>
      <c r="H85" s="14">
        <v>45889</v>
      </c>
      <c r="I85">
        <v>79</v>
      </c>
      <c r="J85" s="15">
        <v>2150</v>
      </c>
      <c r="K85" s="16">
        <f t="shared" si="2"/>
        <v>1.8439108061749572</v>
      </c>
      <c r="L85" s="15">
        <v>2150</v>
      </c>
      <c r="M85" s="16">
        <f t="shared" si="3"/>
        <v>1.8439108061749572</v>
      </c>
      <c r="N85" t="s">
        <v>115</v>
      </c>
    </row>
    <row r="86" spans="1:14" x14ac:dyDescent="0.25">
      <c r="A86" t="s">
        <v>486</v>
      </c>
      <c r="B86" t="s">
        <v>581</v>
      </c>
      <c r="C86" t="s">
        <v>582</v>
      </c>
      <c r="D86">
        <v>1</v>
      </c>
      <c r="E86">
        <v>1</v>
      </c>
      <c r="F86">
        <v>650</v>
      </c>
      <c r="G86" s="14">
        <v>45787</v>
      </c>
      <c r="H86" s="14">
        <v>45889</v>
      </c>
      <c r="I86">
        <v>103</v>
      </c>
      <c r="J86" s="15">
        <v>1195</v>
      </c>
      <c r="K86" s="16">
        <f t="shared" si="2"/>
        <v>1.8384615384615384</v>
      </c>
      <c r="L86" s="15">
        <v>1011</v>
      </c>
      <c r="M86" s="16">
        <f t="shared" si="3"/>
        <v>1.5553846153846154</v>
      </c>
      <c r="N86" t="s">
        <v>115</v>
      </c>
    </row>
    <row r="87" spans="1:14" x14ac:dyDescent="0.25">
      <c r="A87" t="s">
        <v>472</v>
      </c>
      <c r="B87" t="s">
        <v>473</v>
      </c>
      <c r="C87" t="s">
        <v>583</v>
      </c>
      <c r="D87">
        <v>2</v>
      </c>
      <c r="E87">
        <v>1</v>
      </c>
      <c r="F87">
        <v>800</v>
      </c>
      <c r="G87" s="14">
        <v>45885</v>
      </c>
      <c r="H87" s="14">
        <v>45890</v>
      </c>
      <c r="I87">
        <v>6</v>
      </c>
      <c r="J87" s="15">
        <v>1598</v>
      </c>
      <c r="K87" s="16">
        <f t="shared" si="2"/>
        <v>1.9975000000000001</v>
      </c>
      <c r="L87" s="15">
        <v>1352</v>
      </c>
      <c r="M87" s="16">
        <f t="shared" si="3"/>
        <v>1.69</v>
      </c>
      <c r="N87" t="s">
        <v>115</v>
      </c>
    </row>
    <row r="88" spans="1:14" x14ac:dyDescent="0.25">
      <c r="A88" t="s">
        <v>457</v>
      </c>
      <c r="B88" t="s">
        <v>525</v>
      </c>
      <c r="C88" t="s">
        <v>584</v>
      </c>
      <c r="D88">
        <v>2</v>
      </c>
      <c r="E88">
        <v>2</v>
      </c>
      <c r="F88">
        <v>1001</v>
      </c>
      <c r="G88" s="14">
        <v>45853</v>
      </c>
      <c r="H88" s="14">
        <v>45890</v>
      </c>
      <c r="I88">
        <v>38</v>
      </c>
      <c r="J88" s="15">
        <v>1467</v>
      </c>
      <c r="K88" s="16">
        <f t="shared" si="2"/>
        <v>1.4655344655344655</v>
      </c>
      <c r="L88" s="15">
        <v>1286</v>
      </c>
      <c r="M88" s="16">
        <f t="shared" si="3"/>
        <v>1.2847152847152847</v>
      </c>
      <c r="N88" t="s">
        <v>115</v>
      </c>
    </row>
    <row r="89" spans="1:14" x14ac:dyDescent="0.25">
      <c r="A89" t="s">
        <v>454</v>
      </c>
      <c r="B89" t="s">
        <v>494</v>
      </c>
      <c r="C89" t="s">
        <v>585</v>
      </c>
      <c r="D89">
        <v>2</v>
      </c>
      <c r="E89">
        <v>2</v>
      </c>
      <c r="F89">
        <v>1001</v>
      </c>
      <c r="G89" s="14">
        <v>45862</v>
      </c>
      <c r="H89" s="14">
        <v>45891</v>
      </c>
      <c r="I89">
        <v>30</v>
      </c>
      <c r="J89" s="15">
        <v>1600</v>
      </c>
      <c r="K89" s="16">
        <f t="shared" si="2"/>
        <v>1.5984015984015985</v>
      </c>
      <c r="L89" s="15">
        <v>1600</v>
      </c>
      <c r="M89" s="16">
        <f t="shared" si="3"/>
        <v>1.5984015984015985</v>
      </c>
      <c r="N89" t="s">
        <v>115</v>
      </c>
    </row>
    <row r="90" spans="1:14" x14ac:dyDescent="0.25">
      <c r="A90" t="s">
        <v>472</v>
      </c>
      <c r="B90" t="s">
        <v>473</v>
      </c>
      <c r="C90" t="s">
        <v>586</v>
      </c>
      <c r="D90">
        <v>2</v>
      </c>
      <c r="E90">
        <v>1</v>
      </c>
      <c r="F90">
        <v>800</v>
      </c>
      <c r="G90" s="14">
        <v>45842</v>
      </c>
      <c r="H90" s="14">
        <v>45892</v>
      </c>
      <c r="I90">
        <v>51</v>
      </c>
      <c r="J90" s="15">
        <v>1593</v>
      </c>
      <c r="K90" s="16">
        <f t="shared" si="2"/>
        <v>1.99125</v>
      </c>
      <c r="L90" s="15">
        <v>1365</v>
      </c>
      <c r="M90" s="16">
        <f t="shared" si="3"/>
        <v>1.70625</v>
      </c>
      <c r="N90" t="s">
        <v>115</v>
      </c>
    </row>
    <row r="91" spans="1:14" x14ac:dyDescent="0.25">
      <c r="A91" t="s">
        <v>477</v>
      </c>
      <c r="B91" t="s">
        <v>587</v>
      </c>
      <c r="D91">
        <v>3</v>
      </c>
      <c r="E91">
        <v>2</v>
      </c>
      <c r="F91">
        <v>1244</v>
      </c>
      <c r="G91" s="14">
        <v>45720</v>
      </c>
      <c r="H91" s="14">
        <v>45893</v>
      </c>
      <c r="I91">
        <v>174</v>
      </c>
      <c r="J91" s="15">
        <v>1396</v>
      </c>
      <c r="K91" s="16">
        <f t="shared" si="2"/>
        <v>1.1221864951768488</v>
      </c>
      <c r="L91" s="15">
        <v>1396</v>
      </c>
      <c r="M91" s="16">
        <f t="shared" si="3"/>
        <v>1.1221864951768488</v>
      </c>
      <c r="N91" t="s">
        <v>115</v>
      </c>
    </row>
    <row r="92" spans="1:14" x14ac:dyDescent="0.25">
      <c r="A92" t="s">
        <v>486</v>
      </c>
      <c r="B92" t="s">
        <v>510</v>
      </c>
      <c r="C92" t="s">
        <v>588</v>
      </c>
      <c r="D92">
        <v>1</v>
      </c>
      <c r="E92">
        <v>1</v>
      </c>
      <c r="F92">
        <v>650</v>
      </c>
      <c r="G92" s="14">
        <v>45861</v>
      </c>
      <c r="H92" s="14">
        <v>45894</v>
      </c>
      <c r="I92">
        <v>34</v>
      </c>
      <c r="J92" s="15">
        <v>1195</v>
      </c>
      <c r="K92" s="16">
        <f t="shared" si="2"/>
        <v>1.8384615384615384</v>
      </c>
      <c r="L92" s="15">
        <v>1011</v>
      </c>
      <c r="M92" s="16">
        <f t="shared" si="3"/>
        <v>1.5553846153846154</v>
      </c>
      <c r="N92" t="s">
        <v>115</v>
      </c>
    </row>
    <row r="93" spans="1:14" x14ac:dyDescent="0.25">
      <c r="A93" t="s">
        <v>457</v>
      </c>
      <c r="B93" t="s">
        <v>523</v>
      </c>
      <c r="C93" t="s">
        <v>589</v>
      </c>
      <c r="D93">
        <v>2</v>
      </c>
      <c r="E93">
        <v>2</v>
      </c>
      <c r="F93">
        <v>1001</v>
      </c>
      <c r="G93" s="14">
        <v>45861</v>
      </c>
      <c r="H93" s="14">
        <v>45894</v>
      </c>
      <c r="I93">
        <v>34</v>
      </c>
      <c r="J93" s="15">
        <v>1397</v>
      </c>
      <c r="K93" s="16">
        <f t="shared" si="2"/>
        <v>1.3956043956043955</v>
      </c>
      <c r="L93" s="15">
        <v>1225</v>
      </c>
      <c r="M93" s="16">
        <f t="shared" si="3"/>
        <v>1.2237762237762237</v>
      </c>
      <c r="N93" t="s">
        <v>115</v>
      </c>
    </row>
    <row r="94" spans="1:14" x14ac:dyDescent="0.25">
      <c r="A94" t="s">
        <v>451</v>
      </c>
      <c r="B94" t="s">
        <v>557</v>
      </c>
      <c r="C94" t="s">
        <v>590</v>
      </c>
      <c r="D94">
        <v>2</v>
      </c>
      <c r="E94">
        <v>2</v>
      </c>
      <c r="F94">
        <v>885</v>
      </c>
      <c r="G94" s="14">
        <v>45820</v>
      </c>
      <c r="H94" s="14">
        <v>45895</v>
      </c>
      <c r="I94">
        <v>76</v>
      </c>
      <c r="J94" s="15">
        <v>1669</v>
      </c>
      <c r="K94" s="16">
        <f t="shared" si="2"/>
        <v>1.8858757062146894</v>
      </c>
      <c r="L94" s="15">
        <v>1391</v>
      </c>
      <c r="M94" s="16">
        <f t="shared" si="3"/>
        <v>1.5717514124293785</v>
      </c>
      <c r="N94" t="s">
        <v>115</v>
      </c>
    </row>
    <row r="95" spans="1:14" x14ac:dyDescent="0.25">
      <c r="A95" t="s">
        <v>486</v>
      </c>
      <c r="B95" t="s">
        <v>591</v>
      </c>
      <c r="C95" t="s">
        <v>592</v>
      </c>
      <c r="D95">
        <v>2</v>
      </c>
      <c r="E95">
        <v>1</v>
      </c>
      <c r="F95">
        <v>860</v>
      </c>
      <c r="G95" s="14">
        <v>45779</v>
      </c>
      <c r="H95" s="14">
        <v>45895</v>
      </c>
      <c r="I95">
        <v>117</v>
      </c>
      <c r="J95" s="15">
        <v>1437</v>
      </c>
      <c r="K95" s="16">
        <f t="shared" si="2"/>
        <v>1.6709302325581394</v>
      </c>
      <c r="L95" s="15">
        <v>1216</v>
      </c>
      <c r="M95" s="16">
        <f t="shared" si="3"/>
        <v>1.413953488372093</v>
      </c>
      <c r="N95" t="s">
        <v>115</v>
      </c>
    </row>
    <row r="96" spans="1:14" x14ac:dyDescent="0.25">
      <c r="A96" t="s">
        <v>465</v>
      </c>
      <c r="B96" t="s">
        <v>593</v>
      </c>
      <c r="C96" t="s">
        <v>594</v>
      </c>
      <c r="D96">
        <v>3</v>
      </c>
      <c r="E96">
        <v>2</v>
      </c>
      <c r="F96">
        <v>1181</v>
      </c>
      <c r="G96" s="14">
        <v>45813</v>
      </c>
      <c r="H96" s="14">
        <v>45895</v>
      </c>
      <c r="I96">
        <v>83</v>
      </c>
      <c r="J96" s="15">
        <v>1669</v>
      </c>
      <c r="K96" s="16">
        <f t="shared" si="2"/>
        <v>1.4132091447925488</v>
      </c>
      <c r="L96" s="15">
        <v>1412</v>
      </c>
      <c r="M96" s="16">
        <f t="shared" si="3"/>
        <v>1.1955969517358171</v>
      </c>
      <c r="N96" t="s">
        <v>115</v>
      </c>
    </row>
    <row r="97" spans="1:14" x14ac:dyDescent="0.25">
      <c r="A97" t="s">
        <v>477</v>
      </c>
      <c r="B97" t="s">
        <v>587</v>
      </c>
      <c r="C97" t="s">
        <v>595</v>
      </c>
      <c r="D97">
        <v>3</v>
      </c>
      <c r="E97">
        <v>2</v>
      </c>
      <c r="F97">
        <v>1244</v>
      </c>
      <c r="G97" s="14">
        <v>45719</v>
      </c>
      <c r="H97" s="14">
        <v>45896</v>
      </c>
      <c r="I97">
        <v>178</v>
      </c>
      <c r="J97" s="15">
        <v>1396</v>
      </c>
      <c r="K97" s="16">
        <f t="shared" si="2"/>
        <v>1.1221864951768488</v>
      </c>
      <c r="L97" s="15">
        <v>1396</v>
      </c>
      <c r="M97" s="16">
        <f t="shared" si="3"/>
        <v>1.1221864951768488</v>
      </c>
      <c r="N97" t="s">
        <v>115</v>
      </c>
    </row>
    <row r="98" spans="1:14" x14ac:dyDescent="0.25">
      <c r="A98" t="s">
        <v>486</v>
      </c>
      <c r="B98" t="s">
        <v>510</v>
      </c>
      <c r="C98" t="s">
        <v>596</v>
      </c>
      <c r="D98">
        <v>1</v>
      </c>
      <c r="E98">
        <v>1</v>
      </c>
      <c r="F98">
        <v>650</v>
      </c>
      <c r="G98" s="14">
        <v>45860</v>
      </c>
      <c r="H98" s="14">
        <v>45896</v>
      </c>
      <c r="I98">
        <v>37</v>
      </c>
      <c r="J98" s="15">
        <v>1195</v>
      </c>
      <c r="K98" s="16">
        <f t="shared" si="2"/>
        <v>1.8384615384615384</v>
      </c>
      <c r="L98" s="15">
        <v>1011</v>
      </c>
      <c r="M98" s="16">
        <f t="shared" si="3"/>
        <v>1.5553846153846154</v>
      </c>
      <c r="N98" t="s">
        <v>115</v>
      </c>
    </row>
    <row r="99" spans="1:14" x14ac:dyDescent="0.25">
      <c r="A99" t="s">
        <v>465</v>
      </c>
      <c r="B99" t="s">
        <v>597</v>
      </c>
      <c r="C99" t="s">
        <v>598</v>
      </c>
      <c r="D99">
        <v>2</v>
      </c>
      <c r="E99">
        <v>2</v>
      </c>
      <c r="F99">
        <v>1081</v>
      </c>
      <c r="G99" s="14">
        <v>45864</v>
      </c>
      <c r="H99" s="14">
        <v>45896</v>
      </c>
      <c r="I99">
        <v>33</v>
      </c>
      <c r="J99" s="15">
        <v>1389</v>
      </c>
      <c r="K99" s="16">
        <f t="shared" si="2"/>
        <v>1.2849213691026826</v>
      </c>
      <c r="L99" s="15">
        <v>1175</v>
      </c>
      <c r="M99" s="16">
        <f t="shared" si="3"/>
        <v>1.0869565217391304</v>
      </c>
      <c r="N99" t="s">
        <v>115</v>
      </c>
    </row>
    <row r="100" spans="1:14" x14ac:dyDescent="0.25">
      <c r="A100" t="s">
        <v>451</v>
      </c>
      <c r="B100" t="s">
        <v>468</v>
      </c>
      <c r="C100" t="s">
        <v>599</v>
      </c>
      <c r="D100">
        <v>2</v>
      </c>
      <c r="E100">
        <v>2</v>
      </c>
      <c r="F100">
        <v>810</v>
      </c>
      <c r="G100" s="14">
        <v>45876</v>
      </c>
      <c r="H100" s="14">
        <v>45898</v>
      </c>
      <c r="I100">
        <v>23</v>
      </c>
      <c r="J100" s="15">
        <v>1559</v>
      </c>
      <c r="K100" s="16">
        <f t="shared" si="2"/>
        <v>1.9246913580246914</v>
      </c>
      <c r="L100" s="15">
        <v>1299</v>
      </c>
      <c r="M100" s="16">
        <f t="shared" si="3"/>
        <v>1.6037037037037036</v>
      </c>
      <c r="N100" t="s">
        <v>115</v>
      </c>
    </row>
    <row r="101" spans="1:14" x14ac:dyDescent="0.25">
      <c r="A101" t="s">
        <v>465</v>
      </c>
      <c r="B101" t="s">
        <v>502</v>
      </c>
      <c r="C101" t="s">
        <v>600</v>
      </c>
      <c r="D101">
        <v>2</v>
      </c>
      <c r="E101">
        <v>2</v>
      </c>
      <c r="F101">
        <v>1011</v>
      </c>
      <c r="G101" s="14">
        <v>45892</v>
      </c>
      <c r="H101" s="14">
        <v>45898</v>
      </c>
      <c r="I101">
        <v>7</v>
      </c>
      <c r="J101" s="15">
        <v>1394</v>
      </c>
      <c r="K101" s="16">
        <f t="shared" si="2"/>
        <v>1.3788328387734916</v>
      </c>
      <c r="L101" s="15">
        <v>1179</v>
      </c>
      <c r="M101" s="16">
        <f t="shared" si="3"/>
        <v>1.1661721068249258</v>
      </c>
      <c r="N101" t="s">
        <v>115</v>
      </c>
    </row>
    <row r="102" spans="1:14" x14ac:dyDescent="0.25">
      <c r="A102" t="s">
        <v>465</v>
      </c>
      <c r="B102" t="s">
        <v>601</v>
      </c>
      <c r="C102" t="s">
        <v>602</v>
      </c>
      <c r="D102">
        <v>2</v>
      </c>
      <c r="E102">
        <v>2</v>
      </c>
      <c r="F102">
        <v>1081</v>
      </c>
      <c r="G102" s="14">
        <v>45880</v>
      </c>
      <c r="H102" s="14">
        <v>45898</v>
      </c>
      <c r="I102">
        <v>19</v>
      </c>
      <c r="J102" s="15">
        <v>1444</v>
      </c>
      <c r="K102" s="16">
        <f t="shared" si="2"/>
        <v>1.3358001850138761</v>
      </c>
      <c r="L102" s="15">
        <v>1222</v>
      </c>
      <c r="M102" s="16">
        <f t="shared" si="3"/>
        <v>1.1304347826086956</v>
      </c>
      <c r="N102" t="s">
        <v>115</v>
      </c>
    </row>
    <row r="103" spans="1:14" x14ac:dyDescent="0.25">
      <c r="A103" t="s">
        <v>465</v>
      </c>
      <c r="B103" t="s">
        <v>603</v>
      </c>
      <c r="C103" t="s">
        <v>604</v>
      </c>
      <c r="D103">
        <v>2</v>
      </c>
      <c r="E103">
        <v>2</v>
      </c>
      <c r="F103">
        <v>1011</v>
      </c>
      <c r="G103" s="14">
        <v>45896</v>
      </c>
      <c r="H103" s="14">
        <v>45899</v>
      </c>
      <c r="I103">
        <v>4</v>
      </c>
      <c r="J103" s="15">
        <v>1234</v>
      </c>
      <c r="K103" s="16">
        <f t="shared" si="2"/>
        <v>1.2205736894164194</v>
      </c>
      <c r="L103" s="15">
        <v>1044</v>
      </c>
      <c r="M103" s="16">
        <f t="shared" si="3"/>
        <v>1.032640949554896</v>
      </c>
      <c r="N103" t="s">
        <v>115</v>
      </c>
    </row>
    <row r="104" spans="1:14" x14ac:dyDescent="0.25">
      <c r="A104" t="s">
        <v>465</v>
      </c>
      <c r="B104" t="s">
        <v>597</v>
      </c>
      <c r="C104" t="s">
        <v>605</v>
      </c>
      <c r="D104">
        <v>2</v>
      </c>
      <c r="E104">
        <v>2</v>
      </c>
      <c r="F104">
        <v>1081</v>
      </c>
      <c r="G104" s="14">
        <v>45873</v>
      </c>
      <c r="H104" s="14">
        <v>45899</v>
      </c>
      <c r="I104">
        <v>27</v>
      </c>
      <c r="J104" s="15">
        <v>1339</v>
      </c>
      <c r="K104" s="16">
        <f t="shared" si="2"/>
        <v>1.2386679000925069</v>
      </c>
      <c r="L104" s="15">
        <v>1133</v>
      </c>
      <c r="M104" s="16">
        <f t="shared" si="3"/>
        <v>1.0481036077705828</v>
      </c>
      <c r="N104" t="s">
        <v>115</v>
      </c>
    </row>
    <row r="105" spans="1:14" x14ac:dyDescent="0.25">
      <c r="A105" t="s">
        <v>465</v>
      </c>
      <c r="B105" t="s">
        <v>551</v>
      </c>
      <c r="C105" t="s">
        <v>606</v>
      </c>
      <c r="D105">
        <v>1</v>
      </c>
      <c r="E105">
        <v>1</v>
      </c>
      <c r="F105">
        <v>757</v>
      </c>
      <c r="G105" s="14">
        <v>45873</v>
      </c>
      <c r="H105" s="14">
        <v>45901</v>
      </c>
      <c r="I105">
        <v>29</v>
      </c>
      <c r="J105" s="15">
        <v>1196</v>
      </c>
      <c r="K105" s="16">
        <f t="shared" si="2"/>
        <v>1.5799207397622193</v>
      </c>
      <c r="L105" s="15">
        <v>1012</v>
      </c>
      <c r="M105" s="16">
        <f t="shared" si="3"/>
        <v>1.3368560105680316</v>
      </c>
      <c r="N105" t="s">
        <v>147</v>
      </c>
    </row>
    <row r="106" spans="1:14" x14ac:dyDescent="0.25">
      <c r="A106" t="s">
        <v>462</v>
      </c>
      <c r="B106" t="s">
        <v>470</v>
      </c>
      <c r="C106" t="s">
        <v>607</v>
      </c>
      <c r="D106">
        <v>1</v>
      </c>
      <c r="E106">
        <v>1</v>
      </c>
      <c r="F106">
        <v>732</v>
      </c>
      <c r="G106" s="14">
        <v>45785</v>
      </c>
      <c r="H106" s="14">
        <v>45902</v>
      </c>
      <c r="I106">
        <v>118</v>
      </c>
      <c r="J106" s="15">
        <v>1550</v>
      </c>
      <c r="K106" s="16">
        <f t="shared" si="2"/>
        <v>2.1174863387978142</v>
      </c>
      <c r="L106" s="15">
        <v>1550</v>
      </c>
      <c r="M106" s="16">
        <f t="shared" si="3"/>
        <v>2.1174863387978142</v>
      </c>
      <c r="N106" t="s">
        <v>147</v>
      </c>
    </row>
    <row r="107" spans="1:14" x14ac:dyDescent="0.25">
      <c r="A107" t="s">
        <v>451</v>
      </c>
      <c r="B107" t="s">
        <v>468</v>
      </c>
      <c r="C107" t="s">
        <v>608</v>
      </c>
      <c r="D107">
        <v>2</v>
      </c>
      <c r="E107">
        <v>2</v>
      </c>
      <c r="F107">
        <v>810</v>
      </c>
      <c r="G107" s="14">
        <v>45902</v>
      </c>
      <c r="H107" s="14">
        <v>45903</v>
      </c>
      <c r="I107">
        <v>2</v>
      </c>
      <c r="J107" s="15">
        <v>1559</v>
      </c>
      <c r="K107" s="16">
        <f t="shared" si="2"/>
        <v>1.9246913580246914</v>
      </c>
      <c r="L107" s="15">
        <v>1299</v>
      </c>
      <c r="M107" s="16">
        <f t="shared" si="3"/>
        <v>1.6037037037037036</v>
      </c>
      <c r="N107" t="s">
        <v>147</v>
      </c>
    </row>
    <row r="108" spans="1:14" x14ac:dyDescent="0.25">
      <c r="A108" t="s">
        <v>477</v>
      </c>
      <c r="B108" t="s">
        <v>609</v>
      </c>
      <c r="C108" t="s">
        <v>610</v>
      </c>
      <c r="D108">
        <v>2</v>
      </c>
      <c r="E108">
        <v>2</v>
      </c>
      <c r="F108">
        <v>1050</v>
      </c>
      <c r="G108" s="14">
        <v>45902</v>
      </c>
      <c r="H108" s="14">
        <v>45903</v>
      </c>
      <c r="I108">
        <v>2</v>
      </c>
      <c r="J108" s="15">
        <v>1217</v>
      </c>
      <c r="K108" s="16">
        <f t="shared" si="2"/>
        <v>1.1590476190476191</v>
      </c>
      <c r="L108" s="15">
        <v>1217</v>
      </c>
      <c r="M108" s="16">
        <f t="shared" si="3"/>
        <v>1.1590476190476191</v>
      </c>
      <c r="N108" t="s">
        <v>147</v>
      </c>
    </row>
    <row r="109" spans="1:14" x14ac:dyDescent="0.25">
      <c r="A109" t="s">
        <v>454</v>
      </c>
      <c r="B109" t="s">
        <v>455</v>
      </c>
      <c r="C109" t="s">
        <v>611</v>
      </c>
      <c r="D109">
        <v>2</v>
      </c>
      <c r="E109">
        <v>2</v>
      </c>
      <c r="F109">
        <v>1001</v>
      </c>
      <c r="G109" s="14">
        <v>45826</v>
      </c>
      <c r="H109" s="14">
        <v>45903</v>
      </c>
      <c r="I109">
        <v>78</v>
      </c>
      <c r="J109" s="15">
        <v>1550</v>
      </c>
      <c r="K109" s="16">
        <f t="shared" si="2"/>
        <v>1.5484515484515484</v>
      </c>
      <c r="L109" s="15">
        <v>1550</v>
      </c>
      <c r="M109" s="16">
        <f t="shared" si="3"/>
        <v>1.5484515484515484</v>
      </c>
      <c r="N109" t="s">
        <v>147</v>
      </c>
    </row>
    <row r="110" spans="1:14" x14ac:dyDescent="0.25">
      <c r="A110" t="s">
        <v>454</v>
      </c>
      <c r="B110" t="s">
        <v>494</v>
      </c>
      <c r="C110" t="s">
        <v>612</v>
      </c>
      <c r="D110">
        <v>2</v>
      </c>
      <c r="E110">
        <v>2</v>
      </c>
      <c r="F110">
        <v>1001</v>
      </c>
      <c r="G110" s="14">
        <v>45873</v>
      </c>
      <c r="H110" s="14">
        <v>45903</v>
      </c>
      <c r="I110">
        <v>31</v>
      </c>
      <c r="J110" s="15">
        <v>1600</v>
      </c>
      <c r="K110" s="16">
        <f t="shared" si="2"/>
        <v>1.5984015984015985</v>
      </c>
      <c r="L110" s="15">
        <v>1600</v>
      </c>
      <c r="M110" s="16">
        <f t="shared" si="3"/>
        <v>1.5984015984015985</v>
      </c>
      <c r="N110" t="s">
        <v>147</v>
      </c>
    </row>
    <row r="111" spans="1:14" x14ac:dyDescent="0.25">
      <c r="A111" t="s">
        <v>451</v>
      </c>
      <c r="B111" t="s">
        <v>557</v>
      </c>
      <c r="C111" t="s">
        <v>613</v>
      </c>
      <c r="D111">
        <v>2</v>
      </c>
      <c r="E111">
        <v>2</v>
      </c>
      <c r="F111">
        <v>885</v>
      </c>
      <c r="G111" s="14">
        <v>45691</v>
      </c>
      <c r="H111" s="14">
        <v>45904</v>
      </c>
      <c r="I111">
        <v>214</v>
      </c>
      <c r="J111" s="15">
        <v>1669</v>
      </c>
      <c r="K111" s="16">
        <f t="shared" si="2"/>
        <v>1.8858757062146894</v>
      </c>
      <c r="L111" s="15">
        <v>1391</v>
      </c>
      <c r="M111" s="16">
        <f t="shared" si="3"/>
        <v>1.5717514124293785</v>
      </c>
      <c r="N111" t="s">
        <v>147</v>
      </c>
    </row>
    <row r="112" spans="1:14" x14ac:dyDescent="0.25">
      <c r="A112" t="s">
        <v>477</v>
      </c>
      <c r="B112" t="s">
        <v>478</v>
      </c>
      <c r="C112" t="s">
        <v>614</v>
      </c>
      <c r="D112">
        <v>1</v>
      </c>
      <c r="E112">
        <v>1</v>
      </c>
      <c r="F112">
        <v>1050</v>
      </c>
      <c r="G112" s="14">
        <v>45800</v>
      </c>
      <c r="H112" s="14">
        <v>45905</v>
      </c>
      <c r="I112">
        <v>106</v>
      </c>
      <c r="J112" s="15">
        <v>1031</v>
      </c>
      <c r="K112" s="16">
        <f t="shared" si="2"/>
        <v>0.98190476190476195</v>
      </c>
      <c r="L112" s="15">
        <v>1031</v>
      </c>
      <c r="M112" s="16">
        <f t="shared" si="3"/>
        <v>0.98190476190476195</v>
      </c>
      <c r="N112" t="s">
        <v>147</v>
      </c>
    </row>
    <row r="113" spans="1:14" x14ac:dyDescent="0.25">
      <c r="A113" t="s">
        <v>486</v>
      </c>
      <c r="B113" t="s">
        <v>615</v>
      </c>
      <c r="C113" t="s">
        <v>616</v>
      </c>
      <c r="D113">
        <v>2</v>
      </c>
      <c r="E113">
        <v>2</v>
      </c>
      <c r="F113">
        <v>1000</v>
      </c>
      <c r="G113" s="14">
        <v>45865</v>
      </c>
      <c r="H113" s="14">
        <v>45905</v>
      </c>
      <c r="I113">
        <v>41</v>
      </c>
      <c r="J113" s="15">
        <v>1457</v>
      </c>
      <c r="K113" s="16">
        <f t="shared" si="2"/>
        <v>1.4570000000000001</v>
      </c>
      <c r="L113" s="15">
        <v>1233</v>
      </c>
      <c r="M113" s="16">
        <f t="shared" si="3"/>
        <v>1.2330000000000001</v>
      </c>
      <c r="N113" t="s">
        <v>147</v>
      </c>
    </row>
    <row r="114" spans="1:14" x14ac:dyDescent="0.25">
      <c r="A114" t="s">
        <v>483</v>
      </c>
      <c r="B114" t="s">
        <v>541</v>
      </c>
      <c r="C114" t="s">
        <v>617</v>
      </c>
      <c r="D114">
        <v>1</v>
      </c>
      <c r="E114">
        <v>1</v>
      </c>
      <c r="F114">
        <v>702</v>
      </c>
      <c r="G114" s="14">
        <v>45809</v>
      </c>
      <c r="H114" s="14">
        <v>45905</v>
      </c>
      <c r="I114">
        <v>97</v>
      </c>
      <c r="J114" s="15">
        <v>721</v>
      </c>
      <c r="K114" s="16">
        <f t="shared" si="2"/>
        <v>1.0270655270655271</v>
      </c>
      <c r="L114" s="15">
        <v>721</v>
      </c>
      <c r="M114" s="16">
        <f t="shared" si="3"/>
        <v>1.0270655270655271</v>
      </c>
      <c r="N114" t="s">
        <v>147</v>
      </c>
    </row>
    <row r="115" spans="1:14" x14ac:dyDescent="0.25">
      <c r="A115" t="s">
        <v>477</v>
      </c>
      <c r="B115" t="s">
        <v>609</v>
      </c>
      <c r="C115" t="s">
        <v>618</v>
      </c>
      <c r="D115">
        <v>2</v>
      </c>
      <c r="E115">
        <v>2</v>
      </c>
      <c r="F115">
        <v>1050</v>
      </c>
      <c r="G115" s="14">
        <v>45728</v>
      </c>
      <c r="H115" s="14">
        <v>45907</v>
      </c>
      <c r="I115">
        <v>180</v>
      </c>
      <c r="J115" s="15">
        <v>1217</v>
      </c>
      <c r="K115" s="16">
        <f t="shared" si="2"/>
        <v>1.1590476190476191</v>
      </c>
      <c r="L115" s="15">
        <v>1217</v>
      </c>
      <c r="M115" s="16">
        <f t="shared" si="3"/>
        <v>1.1590476190476191</v>
      </c>
      <c r="N115" t="s">
        <v>147</v>
      </c>
    </row>
    <row r="116" spans="1:14" x14ac:dyDescent="0.25">
      <c r="A116" t="s">
        <v>465</v>
      </c>
      <c r="B116" t="s">
        <v>466</v>
      </c>
      <c r="C116" t="s">
        <v>619</v>
      </c>
      <c r="D116">
        <v>1</v>
      </c>
      <c r="E116">
        <v>1</v>
      </c>
      <c r="F116">
        <v>757</v>
      </c>
      <c r="G116" s="14">
        <v>45832</v>
      </c>
      <c r="H116" s="14">
        <v>45907</v>
      </c>
      <c r="I116">
        <v>76</v>
      </c>
      <c r="J116" s="15">
        <v>1106</v>
      </c>
      <c r="K116" s="16">
        <f t="shared" si="2"/>
        <v>1.4610303830911493</v>
      </c>
      <c r="L116" s="15">
        <v>936</v>
      </c>
      <c r="M116" s="16">
        <f t="shared" si="3"/>
        <v>1.2364597093791281</v>
      </c>
      <c r="N116" t="s">
        <v>147</v>
      </c>
    </row>
    <row r="117" spans="1:14" x14ac:dyDescent="0.25">
      <c r="A117" t="s">
        <v>465</v>
      </c>
      <c r="B117" t="s">
        <v>551</v>
      </c>
      <c r="C117" t="s">
        <v>620</v>
      </c>
      <c r="D117">
        <v>1</v>
      </c>
      <c r="E117">
        <v>1</v>
      </c>
      <c r="F117">
        <v>757</v>
      </c>
      <c r="G117" s="14">
        <v>45880</v>
      </c>
      <c r="H117" s="14">
        <v>45907</v>
      </c>
      <c r="I117">
        <v>28</v>
      </c>
      <c r="J117" s="15">
        <v>1156</v>
      </c>
      <c r="K117" s="16">
        <f t="shared" si="2"/>
        <v>1.5270805812417436</v>
      </c>
      <c r="L117" s="15">
        <v>978</v>
      </c>
      <c r="M117" s="16">
        <f t="shared" si="3"/>
        <v>1.2919418758256276</v>
      </c>
      <c r="N117" t="s">
        <v>147</v>
      </c>
    </row>
    <row r="118" spans="1:14" x14ac:dyDescent="0.25">
      <c r="A118" t="s">
        <v>465</v>
      </c>
      <c r="B118" t="s">
        <v>551</v>
      </c>
      <c r="C118" t="s">
        <v>621</v>
      </c>
      <c r="D118">
        <v>1</v>
      </c>
      <c r="E118">
        <v>1</v>
      </c>
      <c r="F118">
        <v>757</v>
      </c>
      <c r="G118" s="14">
        <v>45818</v>
      </c>
      <c r="H118" s="14">
        <v>45907</v>
      </c>
      <c r="I118">
        <v>90</v>
      </c>
      <c r="J118" s="15">
        <v>1156</v>
      </c>
      <c r="K118" s="16">
        <f t="shared" si="2"/>
        <v>1.5270805812417436</v>
      </c>
      <c r="L118" s="15">
        <v>978</v>
      </c>
      <c r="M118" s="16">
        <f t="shared" si="3"/>
        <v>1.2919418758256276</v>
      </c>
      <c r="N118" t="s">
        <v>147</v>
      </c>
    </row>
    <row r="119" spans="1:14" x14ac:dyDescent="0.25">
      <c r="A119" t="s">
        <v>472</v>
      </c>
      <c r="B119" t="s">
        <v>473</v>
      </c>
      <c r="C119" t="s">
        <v>622</v>
      </c>
      <c r="D119">
        <v>2</v>
      </c>
      <c r="E119">
        <v>1</v>
      </c>
      <c r="F119">
        <v>800</v>
      </c>
      <c r="G119" s="14">
        <v>45857</v>
      </c>
      <c r="H119" s="14">
        <v>45909</v>
      </c>
      <c r="I119">
        <v>53</v>
      </c>
      <c r="J119" s="15">
        <v>1398</v>
      </c>
      <c r="K119" s="16">
        <f t="shared" si="2"/>
        <v>1.7475000000000001</v>
      </c>
      <c r="L119" s="15">
        <v>1165</v>
      </c>
      <c r="M119" s="16">
        <f t="shared" si="3"/>
        <v>1.45625</v>
      </c>
      <c r="N119" t="s">
        <v>147</v>
      </c>
    </row>
    <row r="120" spans="1:14" x14ac:dyDescent="0.25">
      <c r="A120" t="s">
        <v>465</v>
      </c>
      <c r="B120" t="s">
        <v>623</v>
      </c>
      <c r="C120" t="s">
        <v>624</v>
      </c>
      <c r="D120">
        <v>2</v>
      </c>
      <c r="E120">
        <v>1</v>
      </c>
      <c r="F120">
        <v>874</v>
      </c>
      <c r="G120" s="14">
        <v>45877</v>
      </c>
      <c r="H120" s="14">
        <v>45910</v>
      </c>
      <c r="I120">
        <v>34</v>
      </c>
      <c r="J120" s="15">
        <v>1249</v>
      </c>
      <c r="K120" s="16">
        <f t="shared" si="2"/>
        <v>1.4290617848970251</v>
      </c>
      <c r="L120" s="15">
        <v>1057</v>
      </c>
      <c r="M120" s="16">
        <f t="shared" si="3"/>
        <v>1.2093821510297482</v>
      </c>
      <c r="N120" t="s">
        <v>147</v>
      </c>
    </row>
    <row r="121" spans="1:14" x14ac:dyDescent="0.25">
      <c r="A121" t="s">
        <v>465</v>
      </c>
      <c r="B121" t="s">
        <v>597</v>
      </c>
      <c r="C121" t="s">
        <v>625</v>
      </c>
      <c r="D121">
        <v>2</v>
      </c>
      <c r="E121">
        <v>2</v>
      </c>
      <c r="F121">
        <v>1081</v>
      </c>
      <c r="G121" s="14">
        <v>45906</v>
      </c>
      <c r="H121" s="14">
        <v>45910</v>
      </c>
      <c r="I121">
        <v>5</v>
      </c>
      <c r="J121" s="15">
        <v>1339</v>
      </c>
      <c r="K121" s="16">
        <f t="shared" si="2"/>
        <v>1.2386679000925069</v>
      </c>
      <c r="L121" s="15">
        <v>1133</v>
      </c>
      <c r="M121" s="16">
        <f t="shared" si="3"/>
        <v>1.0481036077705828</v>
      </c>
      <c r="N121" t="s">
        <v>147</v>
      </c>
    </row>
    <row r="122" spans="1:14" x14ac:dyDescent="0.25">
      <c r="A122" t="s">
        <v>451</v>
      </c>
      <c r="B122" t="s">
        <v>460</v>
      </c>
      <c r="C122" t="s">
        <v>626</v>
      </c>
      <c r="D122">
        <v>1</v>
      </c>
      <c r="E122">
        <v>1</v>
      </c>
      <c r="F122">
        <v>726</v>
      </c>
      <c r="G122" s="14">
        <v>45863</v>
      </c>
      <c r="H122" s="14">
        <v>45911</v>
      </c>
      <c r="I122">
        <v>49</v>
      </c>
      <c r="J122" s="15">
        <v>1489</v>
      </c>
      <c r="K122" s="16">
        <f t="shared" si="2"/>
        <v>2.0509641873278235</v>
      </c>
      <c r="L122" s="15">
        <v>1241</v>
      </c>
      <c r="M122" s="16">
        <f t="shared" si="3"/>
        <v>1.7093663911845729</v>
      </c>
      <c r="N122" t="s">
        <v>147</v>
      </c>
    </row>
    <row r="123" spans="1:14" x14ac:dyDescent="0.25">
      <c r="A123" t="s">
        <v>457</v>
      </c>
      <c r="B123" t="s">
        <v>458</v>
      </c>
      <c r="C123" t="s">
        <v>627</v>
      </c>
      <c r="D123">
        <v>1</v>
      </c>
      <c r="E123">
        <v>1</v>
      </c>
      <c r="F123">
        <v>762</v>
      </c>
      <c r="G123" s="14">
        <v>45695</v>
      </c>
      <c r="H123" s="14">
        <v>45911</v>
      </c>
      <c r="I123">
        <v>217</v>
      </c>
      <c r="J123" s="15">
        <v>1299</v>
      </c>
      <c r="K123" s="16">
        <f t="shared" si="2"/>
        <v>1.704724409448819</v>
      </c>
      <c r="L123" s="15">
        <v>1099</v>
      </c>
      <c r="M123" s="16">
        <f t="shared" si="3"/>
        <v>1.4422572178477691</v>
      </c>
      <c r="N123" t="s">
        <v>147</v>
      </c>
    </row>
    <row r="124" spans="1:14" x14ac:dyDescent="0.25">
      <c r="A124" t="s">
        <v>483</v>
      </c>
      <c r="B124" t="s">
        <v>570</v>
      </c>
      <c r="C124" t="s">
        <v>628</v>
      </c>
      <c r="D124">
        <v>3</v>
      </c>
      <c r="E124">
        <v>2</v>
      </c>
      <c r="F124">
        <v>1143</v>
      </c>
      <c r="G124" s="14">
        <v>45907</v>
      </c>
      <c r="H124" s="14">
        <v>45911</v>
      </c>
      <c r="I124">
        <v>5</v>
      </c>
      <c r="J124" s="15">
        <v>1049</v>
      </c>
      <c r="K124" s="16">
        <f t="shared" si="2"/>
        <v>0.91776027996500442</v>
      </c>
      <c r="L124" s="15">
        <v>1049</v>
      </c>
      <c r="M124" s="16">
        <f t="shared" si="3"/>
        <v>0.91776027996500442</v>
      </c>
      <c r="N124" t="s">
        <v>147</v>
      </c>
    </row>
    <row r="125" spans="1:14" x14ac:dyDescent="0.25">
      <c r="A125" t="s">
        <v>472</v>
      </c>
      <c r="B125" t="s">
        <v>496</v>
      </c>
      <c r="C125" t="s">
        <v>629</v>
      </c>
      <c r="D125">
        <v>1</v>
      </c>
      <c r="E125">
        <v>1</v>
      </c>
      <c r="F125">
        <v>625</v>
      </c>
      <c r="G125" s="14">
        <v>45860</v>
      </c>
      <c r="H125" s="14">
        <v>45912</v>
      </c>
      <c r="I125">
        <v>53</v>
      </c>
      <c r="J125" s="15">
        <v>1198</v>
      </c>
      <c r="K125" s="16">
        <f t="shared" si="2"/>
        <v>1.9168000000000001</v>
      </c>
      <c r="L125" s="15">
        <v>1014</v>
      </c>
      <c r="M125" s="16">
        <f t="shared" si="3"/>
        <v>1.6224000000000001</v>
      </c>
      <c r="N125" t="s">
        <v>147</v>
      </c>
    </row>
    <row r="126" spans="1:14" x14ac:dyDescent="0.25">
      <c r="A126" t="s">
        <v>465</v>
      </c>
      <c r="B126" t="s">
        <v>603</v>
      </c>
      <c r="C126" t="s">
        <v>630</v>
      </c>
      <c r="D126">
        <v>2</v>
      </c>
      <c r="E126">
        <v>2</v>
      </c>
      <c r="F126">
        <v>1011</v>
      </c>
      <c r="G126" s="14">
        <v>45860</v>
      </c>
      <c r="H126" s="14">
        <v>45912</v>
      </c>
      <c r="I126">
        <v>53</v>
      </c>
      <c r="J126" s="15">
        <v>1234</v>
      </c>
      <c r="K126" s="16">
        <f t="shared" si="2"/>
        <v>1.2205736894164194</v>
      </c>
      <c r="L126" s="15">
        <v>1044</v>
      </c>
      <c r="M126" s="16">
        <f t="shared" si="3"/>
        <v>1.032640949554896</v>
      </c>
      <c r="N126" t="s">
        <v>147</v>
      </c>
    </row>
    <row r="127" spans="1:14" x14ac:dyDescent="0.25">
      <c r="A127" t="s">
        <v>486</v>
      </c>
      <c r="B127" t="s">
        <v>591</v>
      </c>
      <c r="C127" t="s">
        <v>631</v>
      </c>
      <c r="D127">
        <v>2</v>
      </c>
      <c r="E127">
        <v>1</v>
      </c>
      <c r="F127">
        <v>860</v>
      </c>
      <c r="G127" s="14">
        <v>45783</v>
      </c>
      <c r="H127" s="14">
        <v>45913</v>
      </c>
      <c r="I127">
        <v>131</v>
      </c>
      <c r="J127" s="15">
        <v>1407</v>
      </c>
      <c r="K127" s="16">
        <f t="shared" si="2"/>
        <v>1.636046511627907</v>
      </c>
      <c r="L127" s="15">
        <v>1190</v>
      </c>
      <c r="M127" s="16">
        <f t="shared" si="3"/>
        <v>1.3837209302325582</v>
      </c>
      <c r="N127" t="s">
        <v>147</v>
      </c>
    </row>
    <row r="128" spans="1:14" x14ac:dyDescent="0.25">
      <c r="A128" t="s">
        <v>465</v>
      </c>
      <c r="B128" t="s">
        <v>567</v>
      </c>
      <c r="C128" t="s">
        <v>632</v>
      </c>
      <c r="D128">
        <v>1</v>
      </c>
      <c r="E128">
        <v>1</v>
      </c>
      <c r="F128">
        <v>757</v>
      </c>
      <c r="G128" s="14">
        <v>45892</v>
      </c>
      <c r="H128" s="14">
        <v>45913</v>
      </c>
      <c r="I128">
        <v>22</v>
      </c>
      <c r="J128" s="15">
        <v>1167</v>
      </c>
      <c r="K128" s="16">
        <f t="shared" si="2"/>
        <v>1.5416116248348746</v>
      </c>
      <c r="L128" s="15">
        <v>1013</v>
      </c>
      <c r="M128" s="16">
        <f t="shared" si="3"/>
        <v>1.3381770145310437</v>
      </c>
      <c r="N128" t="s">
        <v>147</v>
      </c>
    </row>
    <row r="129" spans="1:14" x14ac:dyDescent="0.25">
      <c r="A129" t="s">
        <v>457</v>
      </c>
      <c r="B129" t="s">
        <v>633</v>
      </c>
      <c r="C129" t="s">
        <v>634</v>
      </c>
      <c r="D129">
        <v>1</v>
      </c>
      <c r="E129">
        <v>1</v>
      </c>
      <c r="F129">
        <v>541</v>
      </c>
      <c r="G129" s="14">
        <v>45849</v>
      </c>
      <c r="H129" s="14">
        <v>45914</v>
      </c>
      <c r="I129">
        <v>66</v>
      </c>
      <c r="J129" s="15">
        <v>1099</v>
      </c>
      <c r="K129" s="16">
        <f t="shared" si="2"/>
        <v>2.0314232902033273</v>
      </c>
      <c r="L129" s="15">
        <v>930</v>
      </c>
      <c r="M129" s="16">
        <f t="shared" si="3"/>
        <v>1.7190388170055453</v>
      </c>
      <c r="N129" t="s">
        <v>147</v>
      </c>
    </row>
    <row r="130" spans="1:14" x14ac:dyDescent="0.25">
      <c r="A130" t="s">
        <v>462</v>
      </c>
      <c r="B130" t="s">
        <v>470</v>
      </c>
      <c r="C130" t="s">
        <v>635</v>
      </c>
      <c r="D130">
        <v>1</v>
      </c>
      <c r="E130">
        <v>1</v>
      </c>
      <c r="F130">
        <v>732</v>
      </c>
      <c r="G130" s="14">
        <v>45858</v>
      </c>
      <c r="H130" s="14">
        <v>45915</v>
      </c>
      <c r="I130">
        <v>58</v>
      </c>
      <c r="J130" s="15">
        <v>1550</v>
      </c>
      <c r="K130" s="16">
        <f t="shared" ref="K130:K193" si="4">IFERROR(J130/F130,0)</f>
        <v>2.1174863387978142</v>
      </c>
      <c r="L130" s="15">
        <v>1350</v>
      </c>
      <c r="M130" s="16">
        <f t="shared" ref="M130:M193" si="5">IFERROR(L130/F130,0)</f>
        <v>1.8442622950819672</v>
      </c>
      <c r="N130" t="s">
        <v>147</v>
      </c>
    </row>
    <row r="131" spans="1:14" x14ac:dyDescent="0.25">
      <c r="A131" t="s">
        <v>462</v>
      </c>
      <c r="B131" t="s">
        <v>463</v>
      </c>
      <c r="C131" t="s">
        <v>636</v>
      </c>
      <c r="D131">
        <v>2</v>
      </c>
      <c r="E131">
        <v>2</v>
      </c>
      <c r="F131">
        <v>958</v>
      </c>
      <c r="G131" s="14">
        <v>45875</v>
      </c>
      <c r="H131" s="14">
        <v>45915</v>
      </c>
      <c r="I131">
        <v>41</v>
      </c>
      <c r="J131" s="15">
        <v>1750</v>
      </c>
      <c r="K131" s="16">
        <f t="shared" si="4"/>
        <v>1.826722338204593</v>
      </c>
      <c r="L131" s="15">
        <v>1550</v>
      </c>
      <c r="M131" s="16">
        <f t="shared" si="5"/>
        <v>1.6179540709812108</v>
      </c>
      <c r="N131" t="s">
        <v>147</v>
      </c>
    </row>
    <row r="132" spans="1:14" x14ac:dyDescent="0.25">
      <c r="A132" t="s">
        <v>451</v>
      </c>
      <c r="B132" t="s">
        <v>468</v>
      </c>
      <c r="C132" t="s">
        <v>637</v>
      </c>
      <c r="D132">
        <v>2</v>
      </c>
      <c r="E132">
        <v>2</v>
      </c>
      <c r="F132">
        <v>810</v>
      </c>
      <c r="G132" s="14">
        <v>45894</v>
      </c>
      <c r="H132" s="14">
        <v>45916</v>
      </c>
      <c r="I132">
        <v>23</v>
      </c>
      <c r="J132" s="15">
        <v>1559</v>
      </c>
      <c r="K132" s="16">
        <f t="shared" si="4"/>
        <v>1.9246913580246914</v>
      </c>
      <c r="L132" s="15">
        <v>1299</v>
      </c>
      <c r="M132" s="16">
        <f t="shared" si="5"/>
        <v>1.6037037037037036</v>
      </c>
      <c r="N132" t="s">
        <v>147</v>
      </c>
    </row>
    <row r="133" spans="1:14" x14ac:dyDescent="0.25">
      <c r="A133" t="s">
        <v>462</v>
      </c>
      <c r="B133" t="s">
        <v>463</v>
      </c>
      <c r="C133" t="s">
        <v>638</v>
      </c>
      <c r="D133">
        <v>2</v>
      </c>
      <c r="E133">
        <v>2</v>
      </c>
      <c r="F133">
        <v>958</v>
      </c>
      <c r="G133" s="14">
        <v>45835</v>
      </c>
      <c r="H133" s="14">
        <v>45916</v>
      </c>
      <c r="I133">
        <v>82</v>
      </c>
      <c r="J133" s="15">
        <v>1750</v>
      </c>
      <c r="K133" s="16">
        <f t="shared" si="4"/>
        <v>1.826722338204593</v>
      </c>
      <c r="L133" s="15">
        <v>1550</v>
      </c>
      <c r="M133" s="16">
        <f t="shared" si="5"/>
        <v>1.6179540709812108</v>
      </c>
      <c r="N133" t="s">
        <v>147</v>
      </c>
    </row>
    <row r="134" spans="1:14" x14ac:dyDescent="0.25">
      <c r="A134" t="s">
        <v>462</v>
      </c>
      <c r="B134" t="s">
        <v>475</v>
      </c>
      <c r="C134" t="s">
        <v>639</v>
      </c>
      <c r="D134">
        <v>2</v>
      </c>
      <c r="E134">
        <v>2</v>
      </c>
      <c r="F134">
        <v>1029</v>
      </c>
      <c r="G134" s="14">
        <v>45858</v>
      </c>
      <c r="H134" s="14">
        <v>45916</v>
      </c>
      <c r="I134">
        <v>59</v>
      </c>
      <c r="J134" s="15">
        <v>1900</v>
      </c>
      <c r="K134" s="16">
        <f t="shared" si="4"/>
        <v>1.8464528668610301</v>
      </c>
      <c r="L134" s="15">
        <v>1700</v>
      </c>
      <c r="M134" s="16">
        <f t="shared" si="5"/>
        <v>1.652089407191448</v>
      </c>
      <c r="N134" t="s">
        <v>147</v>
      </c>
    </row>
    <row r="135" spans="1:14" x14ac:dyDescent="0.25">
      <c r="A135" t="s">
        <v>462</v>
      </c>
      <c r="B135" t="s">
        <v>475</v>
      </c>
      <c r="C135" t="s">
        <v>491</v>
      </c>
      <c r="D135">
        <v>2</v>
      </c>
      <c r="E135">
        <v>2</v>
      </c>
      <c r="F135">
        <v>1029</v>
      </c>
      <c r="G135" s="14">
        <v>45835</v>
      </c>
      <c r="H135" s="14">
        <v>45916</v>
      </c>
      <c r="I135">
        <v>82</v>
      </c>
      <c r="J135" s="15">
        <v>1900</v>
      </c>
      <c r="K135" s="16">
        <f t="shared" si="4"/>
        <v>1.8464528668610301</v>
      </c>
      <c r="L135" s="15">
        <v>1700</v>
      </c>
      <c r="M135" s="16">
        <f t="shared" si="5"/>
        <v>1.652089407191448</v>
      </c>
      <c r="N135" t="s">
        <v>147</v>
      </c>
    </row>
    <row r="136" spans="1:14" x14ac:dyDescent="0.25">
      <c r="A136" t="s">
        <v>486</v>
      </c>
      <c r="B136" t="s">
        <v>640</v>
      </c>
      <c r="C136" t="s">
        <v>641</v>
      </c>
      <c r="D136">
        <v>1</v>
      </c>
      <c r="E136">
        <v>1</v>
      </c>
      <c r="F136">
        <v>650</v>
      </c>
      <c r="G136" s="14">
        <v>45883</v>
      </c>
      <c r="H136" s="14">
        <v>45916</v>
      </c>
      <c r="I136">
        <v>34</v>
      </c>
      <c r="J136" s="15">
        <v>1145</v>
      </c>
      <c r="K136" s="16">
        <f t="shared" si="4"/>
        <v>1.7615384615384615</v>
      </c>
      <c r="L136" s="15">
        <v>969</v>
      </c>
      <c r="M136" s="16">
        <f t="shared" si="5"/>
        <v>1.4907692307692308</v>
      </c>
      <c r="N136" t="s">
        <v>147</v>
      </c>
    </row>
    <row r="137" spans="1:14" x14ac:dyDescent="0.25">
      <c r="A137" t="s">
        <v>465</v>
      </c>
      <c r="B137" t="s">
        <v>551</v>
      </c>
      <c r="C137" t="s">
        <v>642</v>
      </c>
      <c r="D137">
        <v>1</v>
      </c>
      <c r="E137">
        <v>1</v>
      </c>
      <c r="F137">
        <v>757</v>
      </c>
      <c r="G137" s="14">
        <v>45892</v>
      </c>
      <c r="H137" s="14">
        <v>45916</v>
      </c>
      <c r="I137">
        <v>25</v>
      </c>
      <c r="J137" s="15">
        <v>1301</v>
      </c>
      <c r="K137" s="16">
        <f t="shared" si="4"/>
        <v>1.7186261558784677</v>
      </c>
      <c r="L137" s="15">
        <v>1129</v>
      </c>
      <c r="M137" s="16">
        <f t="shared" si="5"/>
        <v>1.4914134742404228</v>
      </c>
      <c r="N137" t="s">
        <v>147</v>
      </c>
    </row>
    <row r="138" spans="1:14" x14ac:dyDescent="0.25">
      <c r="A138" t="s">
        <v>486</v>
      </c>
      <c r="B138" t="s">
        <v>510</v>
      </c>
      <c r="C138" t="s">
        <v>643</v>
      </c>
      <c r="D138">
        <v>1</v>
      </c>
      <c r="E138">
        <v>1</v>
      </c>
      <c r="F138">
        <v>650</v>
      </c>
      <c r="G138" s="14">
        <v>45834</v>
      </c>
      <c r="H138" s="14">
        <v>45917</v>
      </c>
      <c r="I138">
        <v>84</v>
      </c>
      <c r="J138" s="15">
        <v>1195</v>
      </c>
      <c r="K138" s="16">
        <f t="shared" si="4"/>
        <v>1.8384615384615384</v>
      </c>
      <c r="L138" s="15">
        <v>1011</v>
      </c>
      <c r="M138" s="16">
        <f t="shared" si="5"/>
        <v>1.5553846153846154</v>
      </c>
      <c r="N138" t="s">
        <v>147</v>
      </c>
    </row>
    <row r="139" spans="1:14" x14ac:dyDescent="0.25">
      <c r="A139" t="s">
        <v>451</v>
      </c>
      <c r="B139" t="s">
        <v>452</v>
      </c>
      <c r="C139" t="s">
        <v>644</v>
      </c>
      <c r="D139">
        <v>2</v>
      </c>
      <c r="E139">
        <v>2</v>
      </c>
      <c r="F139">
        <v>903</v>
      </c>
      <c r="G139" s="14">
        <v>45905</v>
      </c>
      <c r="H139" s="14">
        <v>45918</v>
      </c>
      <c r="I139">
        <v>14</v>
      </c>
      <c r="J139" s="15">
        <v>1765</v>
      </c>
      <c r="K139" s="16">
        <f t="shared" si="4"/>
        <v>1.9545957918050942</v>
      </c>
      <c r="L139" s="15">
        <v>1471</v>
      </c>
      <c r="M139" s="16">
        <f t="shared" si="5"/>
        <v>1.6290143964562569</v>
      </c>
      <c r="N139" t="s">
        <v>147</v>
      </c>
    </row>
    <row r="140" spans="1:14" x14ac:dyDescent="0.25">
      <c r="A140" t="s">
        <v>477</v>
      </c>
      <c r="B140" t="s">
        <v>587</v>
      </c>
      <c r="C140" t="s">
        <v>645</v>
      </c>
      <c r="D140">
        <v>3</v>
      </c>
      <c r="E140">
        <v>2</v>
      </c>
      <c r="F140">
        <v>1244</v>
      </c>
      <c r="G140" s="14">
        <v>45841</v>
      </c>
      <c r="H140" s="14">
        <v>45918</v>
      </c>
      <c r="I140">
        <v>78</v>
      </c>
      <c r="J140" s="15">
        <v>1396</v>
      </c>
      <c r="K140" s="16">
        <f t="shared" si="4"/>
        <v>1.1221864951768488</v>
      </c>
      <c r="L140" s="15">
        <v>1396</v>
      </c>
      <c r="M140" s="16">
        <f t="shared" si="5"/>
        <v>1.1221864951768488</v>
      </c>
      <c r="N140" t="s">
        <v>147</v>
      </c>
    </row>
    <row r="141" spans="1:14" x14ac:dyDescent="0.25">
      <c r="A141" t="s">
        <v>457</v>
      </c>
      <c r="B141" t="s">
        <v>562</v>
      </c>
      <c r="C141" t="s">
        <v>646</v>
      </c>
      <c r="D141">
        <v>2</v>
      </c>
      <c r="E141">
        <v>2</v>
      </c>
      <c r="F141">
        <v>1001</v>
      </c>
      <c r="G141" s="14">
        <v>45911</v>
      </c>
      <c r="H141" s="14">
        <v>45919</v>
      </c>
      <c r="I141">
        <v>9</v>
      </c>
      <c r="J141" s="15">
        <v>1286</v>
      </c>
      <c r="K141" s="16">
        <f t="shared" si="4"/>
        <v>1.2847152847152847</v>
      </c>
      <c r="L141" s="15">
        <v>1088</v>
      </c>
      <c r="M141" s="16">
        <f t="shared" si="5"/>
        <v>1.086913086913087</v>
      </c>
      <c r="N141" t="s">
        <v>147</v>
      </c>
    </row>
    <row r="142" spans="1:14" x14ac:dyDescent="0.25">
      <c r="A142" t="s">
        <v>457</v>
      </c>
      <c r="B142" t="s">
        <v>562</v>
      </c>
      <c r="C142" t="s">
        <v>647</v>
      </c>
      <c r="D142">
        <v>2</v>
      </c>
      <c r="E142">
        <v>2</v>
      </c>
      <c r="F142">
        <v>1001</v>
      </c>
      <c r="G142" s="14">
        <v>45910</v>
      </c>
      <c r="H142" s="14">
        <v>45919</v>
      </c>
      <c r="I142">
        <v>10</v>
      </c>
      <c r="J142" s="15">
        <v>1286</v>
      </c>
      <c r="K142" s="16">
        <f t="shared" si="4"/>
        <v>1.2847152847152847</v>
      </c>
      <c r="L142" s="15">
        <v>1088</v>
      </c>
      <c r="M142" s="16">
        <f t="shared" si="5"/>
        <v>1.086913086913087</v>
      </c>
      <c r="N142" t="s">
        <v>147</v>
      </c>
    </row>
    <row r="143" spans="1:14" x14ac:dyDescent="0.25">
      <c r="A143" t="s">
        <v>465</v>
      </c>
      <c r="B143" t="s">
        <v>502</v>
      </c>
      <c r="C143" t="s">
        <v>648</v>
      </c>
      <c r="D143">
        <v>2</v>
      </c>
      <c r="E143">
        <v>2</v>
      </c>
      <c r="F143">
        <v>1011</v>
      </c>
      <c r="G143" s="14">
        <v>45904</v>
      </c>
      <c r="H143" s="14">
        <v>45919</v>
      </c>
      <c r="I143">
        <v>16</v>
      </c>
      <c r="J143" s="15">
        <v>1405</v>
      </c>
      <c r="K143" s="16">
        <f t="shared" si="4"/>
        <v>1.3897131552917903</v>
      </c>
      <c r="L143" s="15">
        <v>1189</v>
      </c>
      <c r="M143" s="16">
        <f t="shared" si="5"/>
        <v>1.1760633036597428</v>
      </c>
      <c r="N143" t="s">
        <v>147</v>
      </c>
    </row>
    <row r="144" spans="1:14" x14ac:dyDescent="0.25">
      <c r="A144" t="s">
        <v>483</v>
      </c>
      <c r="B144" t="s">
        <v>484</v>
      </c>
      <c r="C144" t="s">
        <v>649</v>
      </c>
      <c r="D144">
        <v>2</v>
      </c>
      <c r="E144">
        <v>2</v>
      </c>
      <c r="F144">
        <v>991</v>
      </c>
      <c r="G144" s="14">
        <v>45802</v>
      </c>
      <c r="H144" s="14">
        <v>45919</v>
      </c>
      <c r="I144">
        <v>118</v>
      </c>
      <c r="J144" s="15">
        <v>861</v>
      </c>
      <c r="K144" s="16">
        <f t="shared" si="4"/>
        <v>0.86881937436932388</v>
      </c>
      <c r="L144" s="15">
        <v>861</v>
      </c>
      <c r="M144" s="16">
        <f t="shared" si="5"/>
        <v>0.86881937436932388</v>
      </c>
      <c r="N144" t="s">
        <v>147</v>
      </c>
    </row>
    <row r="145" spans="1:14" x14ac:dyDescent="0.25">
      <c r="A145" t="s">
        <v>451</v>
      </c>
      <c r="B145" t="s">
        <v>460</v>
      </c>
      <c r="C145" t="s">
        <v>650</v>
      </c>
      <c r="D145">
        <v>1</v>
      </c>
      <c r="E145">
        <v>1</v>
      </c>
      <c r="F145">
        <v>726</v>
      </c>
      <c r="G145" s="14">
        <v>45729</v>
      </c>
      <c r="H145" s="14">
        <v>45920</v>
      </c>
      <c r="I145">
        <v>192</v>
      </c>
      <c r="J145" s="15">
        <v>1489</v>
      </c>
      <c r="K145" s="16">
        <f t="shared" si="4"/>
        <v>2.0509641873278235</v>
      </c>
      <c r="L145" s="15">
        <v>1241</v>
      </c>
      <c r="M145" s="16">
        <f t="shared" si="5"/>
        <v>1.7093663911845729</v>
      </c>
      <c r="N145" t="s">
        <v>147</v>
      </c>
    </row>
    <row r="146" spans="1:14" x14ac:dyDescent="0.25">
      <c r="A146" t="s">
        <v>472</v>
      </c>
      <c r="B146" t="s">
        <v>473</v>
      </c>
      <c r="C146" t="s">
        <v>651</v>
      </c>
      <c r="D146">
        <v>2</v>
      </c>
      <c r="E146">
        <v>1</v>
      </c>
      <c r="F146">
        <v>800</v>
      </c>
      <c r="G146" s="14">
        <v>45827</v>
      </c>
      <c r="H146" s="14">
        <v>45920</v>
      </c>
      <c r="I146">
        <v>94</v>
      </c>
      <c r="J146" s="15">
        <v>1398</v>
      </c>
      <c r="K146" s="16">
        <f t="shared" si="4"/>
        <v>1.7475000000000001</v>
      </c>
      <c r="L146" s="15">
        <v>1183</v>
      </c>
      <c r="M146" s="16">
        <f t="shared" si="5"/>
        <v>1.47875</v>
      </c>
      <c r="N146" t="s">
        <v>147</v>
      </c>
    </row>
    <row r="147" spans="1:14" x14ac:dyDescent="0.25">
      <c r="A147" t="s">
        <v>465</v>
      </c>
      <c r="B147" t="s">
        <v>502</v>
      </c>
      <c r="C147" t="s">
        <v>652</v>
      </c>
      <c r="D147">
        <v>2</v>
      </c>
      <c r="E147">
        <v>2</v>
      </c>
      <c r="F147">
        <v>1011</v>
      </c>
      <c r="G147" s="14">
        <v>45911</v>
      </c>
      <c r="H147" s="14">
        <v>45921</v>
      </c>
      <c r="I147">
        <v>11</v>
      </c>
      <c r="J147" s="15">
        <v>1391</v>
      </c>
      <c r="K147" s="16">
        <f t="shared" si="4"/>
        <v>1.3758654797230465</v>
      </c>
      <c r="L147" s="15">
        <v>1177</v>
      </c>
      <c r="M147" s="16">
        <f t="shared" si="5"/>
        <v>1.1641938674579624</v>
      </c>
      <c r="N147" t="s">
        <v>147</v>
      </c>
    </row>
    <row r="148" spans="1:14" x14ac:dyDescent="0.25">
      <c r="A148" t="s">
        <v>451</v>
      </c>
      <c r="B148" t="s">
        <v>533</v>
      </c>
      <c r="C148" t="s">
        <v>653</v>
      </c>
      <c r="D148">
        <v>1</v>
      </c>
      <c r="E148">
        <v>1</v>
      </c>
      <c r="F148">
        <v>600</v>
      </c>
      <c r="G148" s="14">
        <v>45761</v>
      </c>
      <c r="H148" s="14">
        <v>45922</v>
      </c>
      <c r="I148">
        <v>162</v>
      </c>
      <c r="J148" s="15">
        <v>1325</v>
      </c>
      <c r="K148" s="16">
        <f t="shared" si="4"/>
        <v>2.2083333333333335</v>
      </c>
      <c r="L148" s="15">
        <v>1104</v>
      </c>
      <c r="M148" s="16">
        <f t="shared" si="5"/>
        <v>1.84</v>
      </c>
      <c r="N148" t="s">
        <v>147</v>
      </c>
    </row>
    <row r="149" spans="1:14" x14ac:dyDescent="0.25">
      <c r="A149" t="s">
        <v>451</v>
      </c>
      <c r="B149" t="s">
        <v>452</v>
      </c>
      <c r="C149" t="s">
        <v>654</v>
      </c>
      <c r="D149">
        <v>2</v>
      </c>
      <c r="E149">
        <v>2</v>
      </c>
      <c r="F149">
        <v>903</v>
      </c>
      <c r="G149" s="14">
        <v>45768</v>
      </c>
      <c r="H149" s="14">
        <v>45922</v>
      </c>
      <c r="I149">
        <v>155</v>
      </c>
      <c r="J149" s="15">
        <v>1765</v>
      </c>
      <c r="K149" s="16">
        <f t="shared" si="4"/>
        <v>1.9545957918050942</v>
      </c>
      <c r="L149" s="15">
        <v>1471</v>
      </c>
      <c r="M149" s="16">
        <f t="shared" si="5"/>
        <v>1.6290143964562569</v>
      </c>
      <c r="N149" t="s">
        <v>147</v>
      </c>
    </row>
    <row r="150" spans="1:14" x14ac:dyDescent="0.25">
      <c r="A150" t="s">
        <v>462</v>
      </c>
      <c r="B150" t="s">
        <v>470</v>
      </c>
      <c r="C150" t="s">
        <v>655</v>
      </c>
      <c r="D150">
        <v>1</v>
      </c>
      <c r="E150">
        <v>1</v>
      </c>
      <c r="F150">
        <v>732</v>
      </c>
      <c r="G150" s="14">
        <v>45811</v>
      </c>
      <c r="H150" s="14">
        <v>45922</v>
      </c>
      <c r="I150">
        <v>112</v>
      </c>
      <c r="J150" s="15">
        <v>1475</v>
      </c>
      <c r="K150" s="16">
        <f t="shared" si="4"/>
        <v>2.0150273224043715</v>
      </c>
      <c r="L150" s="15">
        <v>1275</v>
      </c>
      <c r="M150" s="16">
        <f t="shared" si="5"/>
        <v>1.7418032786885247</v>
      </c>
      <c r="N150" t="s">
        <v>147</v>
      </c>
    </row>
    <row r="151" spans="1:14" x14ac:dyDescent="0.25">
      <c r="A151" t="s">
        <v>486</v>
      </c>
      <c r="B151" t="s">
        <v>510</v>
      </c>
      <c r="C151" t="s">
        <v>656</v>
      </c>
      <c r="D151">
        <v>1</v>
      </c>
      <c r="E151">
        <v>1</v>
      </c>
      <c r="F151">
        <v>650</v>
      </c>
      <c r="G151" s="14">
        <v>45840</v>
      </c>
      <c r="H151" s="14">
        <v>45922</v>
      </c>
      <c r="I151">
        <v>83</v>
      </c>
      <c r="J151" s="15">
        <v>1225</v>
      </c>
      <c r="K151" s="16">
        <f t="shared" si="4"/>
        <v>1.8846153846153846</v>
      </c>
      <c r="L151" s="15">
        <v>1036</v>
      </c>
      <c r="M151" s="16">
        <f t="shared" si="5"/>
        <v>1.5938461538461539</v>
      </c>
      <c r="N151" t="s">
        <v>147</v>
      </c>
    </row>
    <row r="152" spans="1:14" x14ac:dyDescent="0.25">
      <c r="A152" t="s">
        <v>457</v>
      </c>
      <c r="B152" t="s">
        <v>562</v>
      </c>
      <c r="C152" t="s">
        <v>657</v>
      </c>
      <c r="D152">
        <v>2</v>
      </c>
      <c r="E152">
        <v>2</v>
      </c>
      <c r="F152">
        <v>1001</v>
      </c>
      <c r="G152" s="14">
        <v>45748</v>
      </c>
      <c r="H152" s="14">
        <v>45922</v>
      </c>
      <c r="I152">
        <v>175</v>
      </c>
      <c r="J152" s="15">
        <v>1286</v>
      </c>
      <c r="K152" s="16">
        <f t="shared" si="4"/>
        <v>1.2847152847152847</v>
      </c>
      <c r="L152" s="15">
        <v>1088</v>
      </c>
      <c r="M152" s="16">
        <f t="shared" si="5"/>
        <v>1.086913086913087</v>
      </c>
      <c r="N152" t="s">
        <v>147</v>
      </c>
    </row>
    <row r="153" spans="1:14" x14ac:dyDescent="0.25">
      <c r="A153" t="s">
        <v>457</v>
      </c>
      <c r="B153" t="s">
        <v>525</v>
      </c>
      <c r="C153" t="s">
        <v>658</v>
      </c>
      <c r="D153">
        <v>2</v>
      </c>
      <c r="E153">
        <v>2</v>
      </c>
      <c r="F153">
        <v>1001</v>
      </c>
      <c r="G153" s="14">
        <v>45798</v>
      </c>
      <c r="H153" s="14">
        <v>45922</v>
      </c>
      <c r="I153">
        <v>125</v>
      </c>
      <c r="J153" s="15">
        <v>1396</v>
      </c>
      <c r="K153" s="16">
        <f t="shared" si="4"/>
        <v>1.3946053946053947</v>
      </c>
      <c r="L153" s="15">
        <v>1181</v>
      </c>
      <c r="M153" s="16">
        <f t="shared" si="5"/>
        <v>1.1798201798201797</v>
      </c>
      <c r="N153" t="s">
        <v>147</v>
      </c>
    </row>
    <row r="154" spans="1:14" x14ac:dyDescent="0.25">
      <c r="A154" t="s">
        <v>486</v>
      </c>
      <c r="B154" t="s">
        <v>659</v>
      </c>
      <c r="C154" t="s">
        <v>660</v>
      </c>
      <c r="D154">
        <v>2</v>
      </c>
      <c r="E154">
        <v>1</v>
      </c>
      <c r="F154">
        <v>860</v>
      </c>
      <c r="G154" s="14">
        <v>45853</v>
      </c>
      <c r="H154" s="14">
        <v>45923</v>
      </c>
      <c r="I154">
        <v>71</v>
      </c>
      <c r="J154" s="15">
        <v>1297</v>
      </c>
      <c r="K154" s="16">
        <f t="shared" si="4"/>
        <v>1.508139534883721</v>
      </c>
      <c r="L154" s="15">
        <v>1097</v>
      </c>
      <c r="M154" s="16">
        <f t="shared" si="5"/>
        <v>1.2755813953488373</v>
      </c>
      <c r="N154" t="s">
        <v>147</v>
      </c>
    </row>
    <row r="155" spans="1:14" x14ac:dyDescent="0.25">
      <c r="A155" t="s">
        <v>465</v>
      </c>
      <c r="B155" t="s">
        <v>551</v>
      </c>
      <c r="C155" t="s">
        <v>661</v>
      </c>
      <c r="D155">
        <v>1</v>
      </c>
      <c r="E155">
        <v>1</v>
      </c>
      <c r="F155">
        <v>757</v>
      </c>
      <c r="G155" s="14">
        <v>45885</v>
      </c>
      <c r="H155" s="14">
        <v>45923</v>
      </c>
      <c r="I155">
        <v>39</v>
      </c>
      <c r="J155" s="15">
        <v>1250</v>
      </c>
      <c r="K155" s="16">
        <f t="shared" si="4"/>
        <v>1.6512549537648613</v>
      </c>
      <c r="L155" s="15">
        <v>1058</v>
      </c>
      <c r="M155" s="16">
        <f t="shared" si="5"/>
        <v>1.3976221928665786</v>
      </c>
      <c r="N155" t="s">
        <v>147</v>
      </c>
    </row>
    <row r="156" spans="1:14" x14ac:dyDescent="0.25">
      <c r="A156" t="s">
        <v>465</v>
      </c>
      <c r="B156" t="s">
        <v>623</v>
      </c>
      <c r="C156" t="s">
        <v>662</v>
      </c>
      <c r="D156">
        <v>2</v>
      </c>
      <c r="E156">
        <v>1</v>
      </c>
      <c r="F156">
        <v>874</v>
      </c>
      <c r="G156" s="14">
        <v>45833</v>
      </c>
      <c r="H156" s="14">
        <v>45923</v>
      </c>
      <c r="I156">
        <v>91</v>
      </c>
      <c r="J156" s="15">
        <v>1296</v>
      </c>
      <c r="K156" s="16">
        <f t="shared" si="4"/>
        <v>1.4828375286041191</v>
      </c>
      <c r="L156" s="15">
        <v>1096</v>
      </c>
      <c r="M156" s="16">
        <f t="shared" si="5"/>
        <v>1.2540045766590389</v>
      </c>
      <c r="N156" t="s">
        <v>147</v>
      </c>
    </row>
    <row r="157" spans="1:14" x14ac:dyDescent="0.25">
      <c r="A157" t="s">
        <v>486</v>
      </c>
      <c r="B157" t="s">
        <v>615</v>
      </c>
      <c r="C157" t="s">
        <v>663</v>
      </c>
      <c r="D157">
        <v>2</v>
      </c>
      <c r="E157">
        <v>2</v>
      </c>
      <c r="F157">
        <v>1000</v>
      </c>
      <c r="G157" s="14">
        <v>45822</v>
      </c>
      <c r="H157" s="14">
        <v>45924</v>
      </c>
      <c r="I157">
        <v>103</v>
      </c>
      <c r="J157" s="15">
        <v>1392</v>
      </c>
      <c r="K157" s="16">
        <f t="shared" si="4"/>
        <v>1.3919999999999999</v>
      </c>
      <c r="L157" s="15">
        <v>1178</v>
      </c>
      <c r="M157" s="16">
        <f t="shared" si="5"/>
        <v>1.1779999999999999</v>
      </c>
      <c r="N157" t="s">
        <v>147</v>
      </c>
    </row>
    <row r="158" spans="1:14" x14ac:dyDescent="0.25">
      <c r="A158" t="s">
        <v>465</v>
      </c>
      <c r="B158" t="s">
        <v>567</v>
      </c>
      <c r="C158" t="s">
        <v>664</v>
      </c>
      <c r="D158">
        <v>1</v>
      </c>
      <c r="E158">
        <v>1</v>
      </c>
      <c r="F158">
        <v>757</v>
      </c>
      <c r="G158" s="14">
        <v>45916</v>
      </c>
      <c r="H158" s="14">
        <v>45924</v>
      </c>
      <c r="I158">
        <v>9</v>
      </c>
      <c r="J158" s="15">
        <v>1150</v>
      </c>
      <c r="K158" s="16">
        <f t="shared" si="4"/>
        <v>1.5191545574636725</v>
      </c>
      <c r="L158" s="15">
        <v>973</v>
      </c>
      <c r="M158" s="16">
        <f t="shared" si="5"/>
        <v>1.285336856010568</v>
      </c>
      <c r="N158" t="s">
        <v>147</v>
      </c>
    </row>
    <row r="159" spans="1:14" x14ac:dyDescent="0.25">
      <c r="A159" t="s">
        <v>465</v>
      </c>
      <c r="B159" t="s">
        <v>502</v>
      </c>
      <c r="C159" t="s">
        <v>665</v>
      </c>
      <c r="D159">
        <v>2</v>
      </c>
      <c r="E159">
        <v>2</v>
      </c>
      <c r="F159">
        <v>1011</v>
      </c>
      <c r="G159" s="14">
        <v>45861</v>
      </c>
      <c r="H159" s="14">
        <v>45924</v>
      </c>
      <c r="I159">
        <v>64</v>
      </c>
      <c r="J159" s="15">
        <v>1391</v>
      </c>
      <c r="K159" s="16">
        <f t="shared" si="4"/>
        <v>1.3758654797230465</v>
      </c>
      <c r="L159" s="15">
        <v>1177</v>
      </c>
      <c r="M159" s="16">
        <f t="shared" si="5"/>
        <v>1.1641938674579624</v>
      </c>
      <c r="N159" t="s">
        <v>147</v>
      </c>
    </row>
    <row r="160" spans="1:14" x14ac:dyDescent="0.25">
      <c r="A160" t="s">
        <v>542</v>
      </c>
      <c r="B160" t="s">
        <v>666</v>
      </c>
      <c r="C160" t="s">
        <v>667</v>
      </c>
      <c r="D160">
        <v>1</v>
      </c>
      <c r="E160">
        <v>1</v>
      </c>
      <c r="F160">
        <v>704</v>
      </c>
      <c r="G160" s="14">
        <v>45802</v>
      </c>
      <c r="H160" s="14">
        <v>45924</v>
      </c>
      <c r="I160">
        <v>123</v>
      </c>
      <c r="J160" s="15">
        <v>1077</v>
      </c>
      <c r="K160" s="16">
        <f t="shared" si="4"/>
        <v>1.5298295454545454</v>
      </c>
      <c r="L160" s="15">
        <v>1077</v>
      </c>
      <c r="M160" s="16">
        <f t="shared" si="5"/>
        <v>1.5298295454545454</v>
      </c>
      <c r="N160" t="s">
        <v>147</v>
      </c>
    </row>
    <row r="161" spans="1:14" x14ac:dyDescent="0.25">
      <c r="A161" t="s">
        <v>542</v>
      </c>
      <c r="B161" t="s">
        <v>543</v>
      </c>
      <c r="C161" t="s">
        <v>668</v>
      </c>
      <c r="D161">
        <v>2</v>
      </c>
      <c r="E161">
        <v>2</v>
      </c>
      <c r="F161">
        <v>1016</v>
      </c>
      <c r="G161" s="14">
        <v>45791</v>
      </c>
      <c r="H161" s="14">
        <v>45924</v>
      </c>
      <c r="I161">
        <v>134</v>
      </c>
      <c r="J161" s="15">
        <v>1289</v>
      </c>
      <c r="K161" s="16">
        <f t="shared" si="4"/>
        <v>1.2687007874015748</v>
      </c>
      <c r="L161" s="15">
        <v>1289</v>
      </c>
      <c r="M161" s="16">
        <f t="shared" si="5"/>
        <v>1.2687007874015748</v>
      </c>
      <c r="N161" t="s">
        <v>147</v>
      </c>
    </row>
    <row r="162" spans="1:14" x14ac:dyDescent="0.25">
      <c r="A162" t="s">
        <v>542</v>
      </c>
      <c r="B162" t="s">
        <v>669</v>
      </c>
      <c r="C162" t="s">
        <v>670</v>
      </c>
      <c r="D162">
        <v>3</v>
      </c>
      <c r="E162">
        <v>2</v>
      </c>
      <c r="F162">
        <v>1202</v>
      </c>
      <c r="G162" s="14">
        <v>45810</v>
      </c>
      <c r="H162" s="14">
        <v>45924</v>
      </c>
      <c r="I162">
        <v>115</v>
      </c>
      <c r="J162" s="15">
        <v>1494</v>
      </c>
      <c r="K162" s="16">
        <f t="shared" si="4"/>
        <v>1.2429284525790349</v>
      </c>
      <c r="L162" s="15">
        <v>1494</v>
      </c>
      <c r="M162" s="16">
        <f t="shared" si="5"/>
        <v>1.2429284525790349</v>
      </c>
      <c r="N162" t="s">
        <v>147</v>
      </c>
    </row>
    <row r="163" spans="1:14" x14ac:dyDescent="0.25">
      <c r="A163" t="s">
        <v>486</v>
      </c>
      <c r="B163" t="s">
        <v>510</v>
      </c>
      <c r="C163" t="s">
        <v>671</v>
      </c>
      <c r="D163">
        <v>1</v>
      </c>
      <c r="E163">
        <v>1</v>
      </c>
      <c r="F163">
        <v>650</v>
      </c>
      <c r="G163" s="14">
        <v>45882</v>
      </c>
      <c r="H163" s="14">
        <v>45925</v>
      </c>
      <c r="I163">
        <v>44</v>
      </c>
      <c r="J163" s="15">
        <v>1225</v>
      </c>
      <c r="K163" s="16">
        <f t="shared" si="4"/>
        <v>1.8846153846153846</v>
      </c>
      <c r="L163" s="15">
        <v>1036</v>
      </c>
      <c r="M163" s="16">
        <f t="shared" si="5"/>
        <v>1.5938461538461539</v>
      </c>
      <c r="N163" t="s">
        <v>147</v>
      </c>
    </row>
    <row r="164" spans="1:14" x14ac:dyDescent="0.25">
      <c r="A164" t="s">
        <v>465</v>
      </c>
      <c r="B164" t="s">
        <v>672</v>
      </c>
      <c r="C164" t="s">
        <v>673</v>
      </c>
      <c r="D164">
        <v>1</v>
      </c>
      <c r="E164">
        <v>1</v>
      </c>
      <c r="F164">
        <v>532</v>
      </c>
      <c r="G164" s="14">
        <v>45836</v>
      </c>
      <c r="H164" s="14">
        <v>45925</v>
      </c>
      <c r="I164">
        <v>90</v>
      </c>
      <c r="J164" s="15">
        <v>1029</v>
      </c>
      <c r="K164" s="16">
        <f t="shared" si="4"/>
        <v>1.9342105263157894</v>
      </c>
      <c r="L164" s="15">
        <v>883</v>
      </c>
      <c r="M164" s="16">
        <f t="shared" si="5"/>
        <v>1.6597744360902256</v>
      </c>
      <c r="N164" t="s">
        <v>147</v>
      </c>
    </row>
    <row r="165" spans="1:14" x14ac:dyDescent="0.25">
      <c r="A165" t="s">
        <v>465</v>
      </c>
      <c r="B165" t="s">
        <v>623</v>
      </c>
      <c r="C165" t="s">
        <v>674</v>
      </c>
      <c r="D165">
        <v>2</v>
      </c>
      <c r="E165">
        <v>1</v>
      </c>
      <c r="F165">
        <v>874</v>
      </c>
      <c r="G165" s="14">
        <v>45919</v>
      </c>
      <c r="H165" s="14">
        <v>45925</v>
      </c>
      <c r="I165">
        <v>7</v>
      </c>
      <c r="J165" s="15">
        <v>1186</v>
      </c>
      <c r="K165" s="16">
        <f t="shared" si="4"/>
        <v>1.3569794050343249</v>
      </c>
      <c r="L165" s="15">
        <v>1003</v>
      </c>
      <c r="M165" s="16">
        <f t="shared" si="5"/>
        <v>1.1475972540045767</v>
      </c>
      <c r="N165" t="s">
        <v>147</v>
      </c>
    </row>
    <row r="166" spans="1:14" x14ac:dyDescent="0.25">
      <c r="A166" t="s">
        <v>465</v>
      </c>
      <c r="B166" t="s">
        <v>601</v>
      </c>
      <c r="C166" t="s">
        <v>675</v>
      </c>
      <c r="D166">
        <v>2</v>
      </c>
      <c r="E166">
        <v>2</v>
      </c>
      <c r="F166">
        <v>1081</v>
      </c>
      <c r="G166" s="14">
        <v>45873</v>
      </c>
      <c r="H166" s="14">
        <v>45925</v>
      </c>
      <c r="I166">
        <v>53</v>
      </c>
      <c r="J166" s="15">
        <v>1441</v>
      </c>
      <c r="K166" s="16">
        <f t="shared" si="4"/>
        <v>1.3330249768732656</v>
      </c>
      <c r="L166" s="15">
        <v>1219</v>
      </c>
      <c r="M166" s="16">
        <f t="shared" si="5"/>
        <v>1.1276595744680851</v>
      </c>
      <c r="N166" t="s">
        <v>147</v>
      </c>
    </row>
    <row r="167" spans="1:14" x14ac:dyDescent="0.25">
      <c r="A167" t="s">
        <v>472</v>
      </c>
      <c r="B167" t="s">
        <v>676</v>
      </c>
      <c r="C167" t="s">
        <v>677</v>
      </c>
      <c r="D167">
        <v>3</v>
      </c>
      <c r="E167">
        <v>2</v>
      </c>
      <c r="F167">
        <v>1000</v>
      </c>
      <c r="G167" s="14">
        <v>45771</v>
      </c>
      <c r="H167" s="14">
        <v>45926</v>
      </c>
      <c r="I167">
        <v>156</v>
      </c>
      <c r="J167" s="15">
        <v>1745</v>
      </c>
      <c r="K167" s="16">
        <f t="shared" si="4"/>
        <v>1.7450000000000001</v>
      </c>
      <c r="L167" s="15">
        <v>1477</v>
      </c>
      <c r="M167" s="16">
        <f t="shared" si="5"/>
        <v>1.4770000000000001</v>
      </c>
      <c r="N167" t="s">
        <v>147</v>
      </c>
    </row>
    <row r="168" spans="1:14" x14ac:dyDescent="0.25">
      <c r="A168" t="s">
        <v>465</v>
      </c>
      <c r="B168" t="s">
        <v>551</v>
      </c>
      <c r="C168" t="s">
        <v>678</v>
      </c>
      <c r="D168">
        <v>1</v>
      </c>
      <c r="E168">
        <v>1</v>
      </c>
      <c r="F168">
        <v>757</v>
      </c>
      <c r="G168" s="14">
        <v>45844</v>
      </c>
      <c r="H168" s="14">
        <v>45926</v>
      </c>
      <c r="I168">
        <v>83</v>
      </c>
      <c r="J168" s="15">
        <v>1250</v>
      </c>
      <c r="K168" s="16">
        <f t="shared" si="4"/>
        <v>1.6512549537648613</v>
      </c>
      <c r="L168" s="15">
        <v>1085</v>
      </c>
      <c r="M168" s="16">
        <f t="shared" si="5"/>
        <v>1.4332892998678997</v>
      </c>
      <c r="N168" t="s">
        <v>147</v>
      </c>
    </row>
    <row r="169" spans="1:14" x14ac:dyDescent="0.25">
      <c r="A169" t="s">
        <v>451</v>
      </c>
      <c r="B169" t="s">
        <v>533</v>
      </c>
      <c r="C169" t="s">
        <v>679</v>
      </c>
      <c r="D169">
        <v>1</v>
      </c>
      <c r="E169">
        <v>1</v>
      </c>
      <c r="F169">
        <v>600</v>
      </c>
      <c r="G169" s="14">
        <v>45674</v>
      </c>
      <c r="H169" s="14">
        <v>45927</v>
      </c>
      <c r="I169">
        <v>254</v>
      </c>
      <c r="J169" s="15">
        <v>1325</v>
      </c>
      <c r="K169" s="16">
        <f t="shared" si="4"/>
        <v>2.2083333333333335</v>
      </c>
      <c r="L169" s="15">
        <v>1104</v>
      </c>
      <c r="M169" s="16">
        <f t="shared" si="5"/>
        <v>1.84</v>
      </c>
      <c r="N169" t="s">
        <v>147</v>
      </c>
    </row>
    <row r="170" spans="1:14" x14ac:dyDescent="0.25">
      <c r="A170" t="s">
        <v>472</v>
      </c>
      <c r="B170" t="s">
        <v>473</v>
      </c>
      <c r="C170" t="s">
        <v>680</v>
      </c>
      <c r="D170">
        <v>2</v>
      </c>
      <c r="E170">
        <v>1</v>
      </c>
      <c r="F170">
        <v>800</v>
      </c>
      <c r="G170" s="14">
        <v>45878</v>
      </c>
      <c r="H170" s="14">
        <v>45927</v>
      </c>
      <c r="I170">
        <v>50</v>
      </c>
      <c r="J170" s="15">
        <v>1398</v>
      </c>
      <c r="K170" s="16">
        <f t="shared" si="4"/>
        <v>1.7475000000000001</v>
      </c>
      <c r="L170" s="15">
        <v>1183</v>
      </c>
      <c r="M170" s="16">
        <f t="shared" si="5"/>
        <v>1.47875</v>
      </c>
      <c r="N170" t="s">
        <v>147</v>
      </c>
    </row>
    <row r="171" spans="1:14" x14ac:dyDescent="0.25">
      <c r="A171" t="s">
        <v>472</v>
      </c>
      <c r="B171" t="s">
        <v>473</v>
      </c>
      <c r="C171" t="s">
        <v>681</v>
      </c>
      <c r="D171">
        <v>2</v>
      </c>
      <c r="E171">
        <v>1</v>
      </c>
      <c r="F171">
        <v>800</v>
      </c>
      <c r="G171" s="14">
        <v>45876</v>
      </c>
      <c r="H171" s="14">
        <v>45927</v>
      </c>
      <c r="I171">
        <v>52</v>
      </c>
      <c r="J171" s="15">
        <v>1398</v>
      </c>
      <c r="K171" s="16">
        <f t="shared" si="4"/>
        <v>1.7475000000000001</v>
      </c>
      <c r="L171" s="15">
        <v>1183</v>
      </c>
      <c r="M171" s="16">
        <f t="shared" si="5"/>
        <v>1.47875</v>
      </c>
      <c r="N171" t="s">
        <v>147</v>
      </c>
    </row>
    <row r="172" spans="1:14" x14ac:dyDescent="0.25">
      <c r="A172" t="s">
        <v>486</v>
      </c>
      <c r="B172" t="s">
        <v>487</v>
      </c>
      <c r="C172" t="s">
        <v>682</v>
      </c>
      <c r="D172">
        <v>2</v>
      </c>
      <c r="E172">
        <v>2</v>
      </c>
      <c r="F172">
        <v>1000</v>
      </c>
      <c r="G172" s="14">
        <v>45867</v>
      </c>
      <c r="H172" s="14">
        <v>45929</v>
      </c>
      <c r="I172">
        <v>63</v>
      </c>
      <c r="J172" s="15">
        <v>1292</v>
      </c>
      <c r="K172" s="16">
        <f t="shared" si="4"/>
        <v>1.292</v>
      </c>
      <c r="L172" s="15">
        <v>1093</v>
      </c>
      <c r="M172" s="16">
        <f t="shared" si="5"/>
        <v>1.093</v>
      </c>
      <c r="N172" t="s">
        <v>147</v>
      </c>
    </row>
    <row r="173" spans="1:14" x14ac:dyDescent="0.25">
      <c r="A173" t="s">
        <v>457</v>
      </c>
      <c r="B173" t="s">
        <v>683</v>
      </c>
      <c r="C173" t="s">
        <v>684</v>
      </c>
      <c r="D173">
        <v>1</v>
      </c>
      <c r="E173">
        <v>1</v>
      </c>
      <c r="F173">
        <v>762</v>
      </c>
      <c r="G173" s="14">
        <v>45910</v>
      </c>
      <c r="H173" s="14">
        <v>45929</v>
      </c>
      <c r="I173">
        <v>20</v>
      </c>
      <c r="J173" s="15">
        <v>1184</v>
      </c>
      <c r="K173" s="16">
        <f t="shared" si="4"/>
        <v>1.5538057742782152</v>
      </c>
      <c r="L173" s="15">
        <v>1002</v>
      </c>
      <c r="M173" s="16">
        <f t="shared" si="5"/>
        <v>1.3149606299212599</v>
      </c>
      <c r="N173" t="s">
        <v>147</v>
      </c>
    </row>
    <row r="174" spans="1:14" x14ac:dyDescent="0.25">
      <c r="A174" t="s">
        <v>457</v>
      </c>
      <c r="B174" t="s">
        <v>458</v>
      </c>
      <c r="C174" t="s">
        <v>685</v>
      </c>
      <c r="D174">
        <v>1</v>
      </c>
      <c r="E174">
        <v>1</v>
      </c>
      <c r="F174">
        <v>762</v>
      </c>
      <c r="G174" s="14">
        <v>45786</v>
      </c>
      <c r="H174" s="14">
        <v>45929</v>
      </c>
      <c r="I174">
        <v>144</v>
      </c>
      <c r="J174" s="15">
        <v>1284</v>
      </c>
      <c r="K174" s="16">
        <f t="shared" si="4"/>
        <v>1.6850393700787401</v>
      </c>
      <c r="L174" s="15">
        <v>1086</v>
      </c>
      <c r="M174" s="16">
        <f t="shared" si="5"/>
        <v>1.4251968503937007</v>
      </c>
      <c r="N174" t="s">
        <v>147</v>
      </c>
    </row>
    <row r="175" spans="1:14" x14ac:dyDescent="0.25">
      <c r="A175" t="s">
        <v>457</v>
      </c>
      <c r="B175" t="s">
        <v>633</v>
      </c>
      <c r="C175" t="s">
        <v>686</v>
      </c>
      <c r="D175">
        <v>1</v>
      </c>
      <c r="E175">
        <v>1</v>
      </c>
      <c r="F175">
        <v>541</v>
      </c>
      <c r="G175" s="14">
        <v>45841</v>
      </c>
      <c r="H175" s="14">
        <v>45930</v>
      </c>
      <c r="I175">
        <v>90</v>
      </c>
      <c r="J175" s="15">
        <v>1069</v>
      </c>
      <c r="K175" s="16">
        <f t="shared" si="4"/>
        <v>1.9759704251386321</v>
      </c>
      <c r="L175" s="15">
        <v>904</v>
      </c>
      <c r="M175" s="16">
        <f t="shared" si="5"/>
        <v>1.6709796672828097</v>
      </c>
      <c r="N175" t="s">
        <v>147</v>
      </c>
    </row>
    <row r="176" spans="1:14" x14ac:dyDescent="0.25">
      <c r="A176" t="s">
        <v>465</v>
      </c>
      <c r="B176" t="s">
        <v>601</v>
      </c>
      <c r="C176" t="s">
        <v>687</v>
      </c>
      <c r="D176">
        <v>2</v>
      </c>
      <c r="E176">
        <v>2</v>
      </c>
      <c r="F176">
        <v>1081</v>
      </c>
      <c r="G176" s="14">
        <v>45890</v>
      </c>
      <c r="H176" s="14">
        <v>45930</v>
      </c>
      <c r="I176">
        <v>41</v>
      </c>
      <c r="J176" s="15">
        <v>1441</v>
      </c>
      <c r="K176" s="16">
        <f t="shared" si="4"/>
        <v>1.3330249768732656</v>
      </c>
      <c r="L176" s="15">
        <v>1219</v>
      </c>
      <c r="M176" s="16">
        <f t="shared" si="5"/>
        <v>1.1276595744680851</v>
      </c>
      <c r="N176" t="s">
        <v>147</v>
      </c>
    </row>
    <row r="177" spans="1:14" x14ac:dyDescent="0.25">
      <c r="A177" t="s">
        <v>462</v>
      </c>
      <c r="B177" t="s">
        <v>470</v>
      </c>
      <c r="C177" t="s">
        <v>688</v>
      </c>
      <c r="D177">
        <v>1</v>
      </c>
      <c r="E177">
        <v>1</v>
      </c>
      <c r="F177">
        <v>732</v>
      </c>
      <c r="G177" s="14">
        <v>45858</v>
      </c>
      <c r="H177" s="14">
        <v>45931</v>
      </c>
      <c r="I177">
        <v>74</v>
      </c>
      <c r="J177" s="15">
        <v>1425</v>
      </c>
      <c r="K177" s="16">
        <f t="shared" si="4"/>
        <v>1.9467213114754098</v>
      </c>
      <c r="L177" s="15">
        <v>1225</v>
      </c>
      <c r="M177" s="16">
        <f t="shared" si="5"/>
        <v>1.6734972677595628</v>
      </c>
      <c r="N177" t="s">
        <v>178</v>
      </c>
    </row>
    <row r="178" spans="1:14" x14ac:dyDescent="0.25">
      <c r="A178" t="s">
        <v>472</v>
      </c>
      <c r="B178" t="s">
        <v>496</v>
      </c>
      <c r="C178" t="s">
        <v>689</v>
      </c>
      <c r="D178">
        <v>1</v>
      </c>
      <c r="E178">
        <v>1</v>
      </c>
      <c r="F178">
        <v>625</v>
      </c>
      <c r="G178" s="14">
        <v>45771</v>
      </c>
      <c r="H178" s="14">
        <v>45931</v>
      </c>
      <c r="I178">
        <v>161</v>
      </c>
      <c r="J178" s="15">
        <v>1373</v>
      </c>
      <c r="K178" s="16">
        <f t="shared" si="4"/>
        <v>2.1968000000000001</v>
      </c>
      <c r="L178" s="15">
        <v>1162</v>
      </c>
      <c r="M178" s="16">
        <f t="shared" si="5"/>
        <v>1.8592</v>
      </c>
      <c r="N178" t="s">
        <v>178</v>
      </c>
    </row>
    <row r="179" spans="1:14" x14ac:dyDescent="0.25">
      <c r="A179" t="s">
        <v>451</v>
      </c>
      <c r="B179" t="s">
        <v>460</v>
      </c>
      <c r="C179" t="s">
        <v>690</v>
      </c>
      <c r="D179">
        <v>1</v>
      </c>
      <c r="E179">
        <v>1</v>
      </c>
      <c r="F179">
        <v>726</v>
      </c>
      <c r="G179" s="14">
        <v>45526</v>
      </c>
      <c r="H179" s="14">
        <v>45932</v>
      </c>
      <c r="I179">
        <v>407</v>
      </c>
      <c r="J179" s="15">
        <v>1000</v>
      </c>
      <c r="K179" s="16">
        <f t="shared" si="4"/>
        <v>1.3774104683195592</v>
      </c>
      <c r="L179" s="15">
        <v>833</v>
      </c>
      <c r="M179" s="16">
        <f t="shared" si="5"/>
        <v>1.1473829201101928</v>
      </c>
      <c r="N179" t="s">
        <v>178</v>
      </c>
    </row>
    <row r="180" spans="1:14" x14ac:dyDescent="0.25">
      <c r="A180" t="s">
        <v>486</v>
      </c>
      <c r="B180" t="s">
        <v>591</v>
      </c>
      <c r="C180" t="s">
        <v>691</v>
      </c>
      <c r="D180">
        <v>2</v>
      </c>
      <c r="E180">
        <v>1</v>
      </c>
      <c r="F180">
        <v>860</v>
      </c>
      <c r="G180" s="14">
        <v>45837</v>
      </c>
      <c r="H180" s="14">
        <v>45932</v>
      </c>
      <c r="I180">
        <v>96</v>
      </c>
      <c r="J180" s="15">
        <v>1386</v>
      </c>
      <c r="K180" s="16">
        <f t="shared" si="4"/>
        <v>1.6116279069767443</v>
      </c>
      <c r="L180" s="15">
        <v>1173</v>
      </c>
      <c r="M180" s="16">
        <f t="shared" si="5"/>
        <v>1.363953488372093</v>
      </c>
      <c r="N180" t="s">
        <v>178</v>
      </c>
    </row>
    <row r="181" spans="1:14" x14ac:dyDescent="0.25">
      <c r="A181" t="s">
        <v>457</v>
      </c>
      <c r="B181" t="s">
        <v>525</v>
      </c>
      <c r="C181" t="s">
        <v>692</v>
      </c>
      <c r="D181">
        <v>2</v>
      </c>
      <c r="E181">
        <v>2</v>
      </c>
      <c r="F181">
        <v>1001</v>
      </c>
      <c r="G181" s="14">
        <v>45846</v>
      </c>
      <c r="H181" s="14">
        <v>45932</v>
      </c>
      <c r="I181">
        <v>87</v>
      </c>
      <c r="J181" s="15">
        <v>1477</v>
      </c>
      <c r="K181" s="16">
        <f t="shared" si="4"/>
        <v>1.4755244755244756</v>
      </c>
      <c r="L181" s="15">
        <v>1250</v>
      </c>
      <c r="M181" s="16">
        <f t="shared" si="5"/>
        <v>1.2487512487512487</v>
      </c>
      <c r="N181" t="s">
        <v>178</v>
      </c>
    </row>
    <row r="182" spans="1:14" x14ac:dyDescent="0.25">
      <c r="A182" t="s">
        <v>465</v>
      </c>
      <c r="B182" t="s">
        <v>500</v>
      </c>
      <c r="C182" t="s">
        <v>693</v>
      </c>
      <c r="D182">
        <v>2</v>
      </c>
      <c r="E182">
        <v>1</v>
      </c>
      <c r="F182">
        <v>912</v>
      </c>
      <c r="G182" s="14">
        <v>45798</v>
      </c>
      <c r="H182" s="14">
        <v>45932</v>
      </c>
      <c r="I182">
        <v>135</v>
      </c>
      <c r="J182" s="15">
        <v>1396</v>
      </c>
      <c r="K182" s="16">
        <f t="shared" si="4"/>
        <v>1.5307017543859649</v>
      </c>
      <c r="L182" s="15">
        <v>1181</v>
      </c>
      <c r="M182" s="16">
        <f t="shared" si="5"/>
        <v>1.2949561403508771</v>
      </c>
      <c r="N182" t="s">
        <v>178</v>
      </c>
    </row>
    <row r="183" spans="1:14" x14ac:dyDescent="0.25">
      <c r="A183" t="s">
        <v>451</v>
      </c>
      <c r="B183" t="s">
        <v>460</v>
      </c>
      <c r="C183" t="s">
        <v>694</v>
      </c>
      <c r="D183">
        <v>1</v>
      </c>
      <c r="E183">
        <v>1</v>
      </c>
      <c r="F183">
        <v>726</v>
      </c>
      <c r="G183" s="14">
        <v>45839</v>
      </c>
      <c r="H183" s="14">
        <v>45933</v>
      </c>
      <c r="I183">
        <v>95</v>
      </c>
      <c r="J183" s="15">
        <v>1000</v>
      </c>
      <c r="K183" s="16">
        <f t="shared" si="4"/>
        <v>1.3774104683195592</v>
      </c>
      <c r="L183" s="15">
        <v>833</v>
      </c>
      <c r="M183" s="16">
        <f t="shared" si="5"/>
        <v>1.1473829201101928</v>
      </c>
      <c r="N183" t="s">
        <v>178</v>
      </c>
    </row>
    <row r="184" spans="1:14" x14ac:dyDescent="0.25">
      <c r="A184" t="s">
        <v>451</v>
      </c>
      <c r="B184" t="s">
        <v>460</v>
      </c>
      <c r="C184" t="s">
        <v>695</v>
      </c>
      <c r="D184">
        <v>1</v>
      </c>
      <c r="E184">
        <v>1</v>
      </c>
      <c r="F184">
        <v>726</v>
      </c>
      <c r="G184" s="14">
        <v>45686</v>
      </c>
      <c r="H184" s="14">
        <v>45933</v>
      </c>
      <c r="I184">
        <v>248</v>
      </c>
      <c r="J184" s="15">
        <v>1000</v>
      </c>
      <c r="K184" s="16">
        <f t="shared" si="4"/>
        <v>1.3774104683195592</v>
      </c>
      <c r="L184" s="15">
        <v>833</v>
      </c>
      <c r="M184" s="16">
        <f t="shared" si="5"/>
        <v>1.1473829201101928</v>
      </c>
      <c r="N184" t="s">
        <v>178</v>
      </c>
    </row>
    <row r="185" spans="1:14" x14ac:dyDescent="0.25">
      <c r="A185" t="s">
        <v>451</v>
      </c>
      <c r="B185" t="s">
        <v>468</v>
      </c>
      <c r="C185" t="s">
        <v>696</v>
      </c>
      <c r="D185">
        <v>2</v>
      </c>
      <c r="E185">
        <v>2</v>
      </c>
      <c r="F185">
        <v>810</v>
      </c>
      <c r="G185" s="14">
        <v>45650</v>
      </c>
      <c r="H185" s="14">
        <v>45933</v>
      </c>
      <c r="I185">
        <v>284</v>
      </c>
      <c r="J185" s="15">
        <v>1200</v>
      </c>
      <c r="K185" s="16">
        <f t="shared" si="4"/>
        <v>1.4814814814814814</v>
      </c>
      <c r="L185" s="15">
        <v>1000</v>
      </c>
      <c r="M185" s="16">
        <f t="shared" si="5"/>
        <v>1.2345679012345678</v>
      </c>
      <c r="N185" t="s">
        <v>178</v>
      </c>
    </row>
    <row r="186" spans="1:14" x14ac:dyDescent="0.25">
      <c r="A186" t="s">
        <v>462</v>
      </c>
      <c r="B186" t="s">
        <v>470</v>
      </c>
      <c r="C186" t="s">
        <v>697</v>
      </c>
      <c r="D186">
        <v>1</v>
      </c>
      <c r="E186">
        <v>1</v>
      </c>
      <c r="F186">
        <v>732</v>
      </c>
      <c r="G186" s="14">
        <v>45858</v>
      </c>
      <c r="H186" s="14">
        <v>45933</v>
      </c>
      <c r="I186">
        <v>76</v>
      </c>
      <c r="J186" s="15">
        <v>1425</v>
      </c>
      <c r="K186" s="16">
        <f t="shared" si="4"/>
        <v>1.9467213114754098</v>
      </c>
      <c r="L186" s="15">
        <v>1425</v>
      </c>
      <c r="M186" s="16">
        <f t="shared" si="5"/>
        <v>1.9467213114754098</v>
      </c>
      <c r="N186" t="s">
        <v>178</v>
      </c>
    </row>
    <row r="187" spans="1:14" x14ac:dyDescent="0.25">
      <c r="A187" t="s">
        <v>462</v>
      </c>
      <c r="B187" t="s">
        <v>475</v>
      </c>
      <c r="C187" t="s">
        <v>698</v>
      </c>
      <c r="D187">
        <v>2</v>
      </c>
      <c r="E187">
        <v>2</v>
      </c>
      <c r="F187">
        <v>1029</v>
      </c>
      <c r="G187" s="14">
        <v>45875</v>
      </c>
      <c r="H187" s="14">
        <v>45933</v>
      </c>
      <c r="I187">
        <v>59</v>
      </c>
      <c r="J187" s="15">
        <v>1850</v>
      </c>
      <c r="K187" s="16">
        <f t="shared" si="4"/>
        <v>1.7978620019436347</v>
      </c>
      <c r="L187" s="15">
        <v>1850</v>
      </c>
      <c r="M187" s="16">
        <f t="shared" si="5"/>
        <v>1.7978620019436347</v>
      </c>
      <c r="N187" t="s">
        <v>178</v>
      </c>
    </row>
    <row r="188" spans="1:14" x14ac:dyDescent="0.25">
      <c r="A188" t="s">
        <v>483</v>
      </c>
      <c r="B188" t="s">
        <v>570</v>
      </c>
      <c r="C188" t="s">
        <v>699</v>
      </c>
      <c r="D188">
        <v>3</v>
      </c>
      <c r="E188">
        <v>2</v>
      </c>
      <c r="F188">
        <v>1143</v>
      </c>
      <c r="G188" s="14">
        <v>45885</v>
      </c>
      <c r="H188" s="14">
        <v>45933</v>
      </c>
      <c r="I188">
        <v>49</v>
      </c>
      <c r="J188" s="15">
        <v>1046</v>
      </c>
      <c r="K188" s="16">
        <f t="shared" si="4"/>
        <v>0.91513560804899385</v>
      </c>
      <c r="L188" s="15">
        <v>1046</v>
      </c>
      <c r="M188" s="16">
        <f t="shared" si="5"/>
        <v>0.91513560804899385</v>
      </c>
      <c r="N188" t="s">
        <v>178</v>
      </c>
    </row>
    <row r="189" spans="1:14" x14ac:dyDescent="0.25">
      <c r="A189" t="s">
        <v>451</v>
      </c>
      <c r="B189" t="s">
        <v>460</v>
      </c>
      <c r="C189" t="s">
        <v>700</v>
      </c>
      <c r="D189">
        <v>1</v>
      </c>
      <c r="E189">
        <v>1</v>
      </c>
      <c r="F189">
        <v>726</v>
      </c>
      <c r="G189" s="14">
        <v>45917</v>
      </c>
      <c r="H189" s="14">
        <v>45934</v>
      </c>
      <c r="I189">
        <v>18</v>
      </c>
      <c r="J189" s="15">
        <v>1000</v>
      </c>
      <c r="K189" s="16">
        <f t="shared" si="4"/>
        <v>1.3774104683195592</v>
      </c>
      <c r="L189" s="15">
        <v>833</v>
      </c>
      <c r="M189" s="16">
        <f t="shared" si="5"/>
        <v>1.1473829201101928</v>
      </c>
      <c r="N189" t="s">
        <v>178</v>
      </c>
    </row>
    <row r="190" spans="1:14" x14ac:dyDescent="0.25">
      <c r="A190" t="s">
        <v>451</v>
      </c>
      <c r="B190" t="s">
        <v>460</v>
      </c>
      <c r="C190" t="s">
        <v>701</v>
      </c>
      <c r="D190">
        <v>1</v>
      </c>
      <c r="E190">
        <v>1</v>
      </c>
      <c r="F190">
        <v>726</v>
      </c>
      <c r="G190" s="14">
        <v>45754</v>
      </c>
      <c r="H190" s="14">
        <v>45934</v>
      </c>
      <c r="I190">
        <v>181</v>
      </c>
      <c r="J190" s="15">
        <v>1000</v>
      </c>
      <c r="K190" s="16">
        <f t="shared" si="4"/>
        <v>1.3774104683195592</v>
      </c>
      <c r="L190" s="15">
        <v>833</v>
      </c>
      <c r="M190" s="16">
        <f t="shared" si="5"/>
        <v>1.1473829201101928</v>
      </c>
      <c r="N190" t="s">
        <v>178</v>
      </c>
    </row>
    <row r="191" spans="1:14" x14ac:dyDescent="0.25">
      <c r="A191" t="s">
        <v>451</v>
      </c>
      <c r="B191" t="s">
        <v>460</v>
      </c>
      <c r="C191" t="s">
        <v>702</v>
      </c>
      <c r="D191">
        <v>1</v>
      </c>
      <c r="E191">
        <v>1</v>
      </c>
      <c r="F191">
        <v>726</v>
      </c>
      <c r="G191" s="14">
        <v>45881</v>
      </c>
      <c r="H191" s="14">
        <v>45934</v>
      </c>
      <c r="I191">
        <v>54</v>
      </c>
      <c r="J191" s="15">
        <v>1000</v>
      </c>
      <c r="K191" s="16">
        <f t="shared" si="4"/>
        <v>1.3774104683195592</v>
      </c>
      <c r="L191" s="15">
        <v>833</v>
      </c>
      <c r="M191" s="16">
        <f t="shared" si="5"/>
        <v>1.1473829201101928</v>
      </c>
      <c r="N191" t="s">
        <v>178</v>
      </c>
    </row>
    <row r="192" spans="1:14" x14ac:dyDescent="0.25">
      <c r="A192" t="s">
        <v>462</v>
      </c>
      <c r="B192" t="s">
        <v>463</v>
      </c>
      <c r="C192" t="s">
        <v>703</v>
      </c>
      <c r="D192">
        <v>2</v>
      </c>
      <c r="E192">
        <v>2</v>
      </c>
      <c r="F192">
        <v>958</v>
      </c>
      <c r="G192" s="14">
        <v>45875</v>
      </c>
      <c r="H192" s="14">
        <v>45934</v>
      </c>
      <c r="I192">
        <v>60</v>
      </c>
      <c r="J192" s="15">
        <v>1750</v>
      </c>
      <c r="K192" s="16">
        <f t="shared" si="4"/>
        <v>1.826722338204593</v>
      </c>
      <c r="L192" s="15">
        <v>1750</v>
      </c>
      <c r="M192" s="16">
        <f t="shared" si="5"/>
        <v>1.826722338204593</v>
      </c>
      <c r="N192" t="s">
        <v>178</v>
      </c>
    </row>
    <row r="193" spans="1:14" x14ac:dyDescent="0.25">
      <c r="A193" t="s">
        <v>486</v>
      </c>
      <c r="B193" t="s">
        <v>659</v>
      </c>
      <c r="C193" t="s">
        <v>704</v>
      </c>
      <c r="D193">
        <v>2</v>
      </c>
      <c r="E193">
        <v>1</v>
      </c>
      <c r="F193">
        <v>860</v>
      </c>
      <c r="G193" s="14">
        <v>45840</v>
      </c>
      <c r="H193" s="14">
        <v>45934</v>
      </c>
      <c r="I193">
        <v>95</v>
      </c>
      <c r="J193" s="15">
        <v>1343</v>
      </c>
      <c r="K193" s="16">
        <f t="shared" si="4"/>
        <v>1.5616279069767443</v>
      </c>
      <c r="L193" s="15">
        <v>1136</v>
      </c>
      <c r="M193" s="16">
        <f t="shared" si="5"/>
        <v>1.3209302325581396</v>
      </c>
      <c r="N193" t="s">
        <v>178</v>
      </c>
    </row>
    <row r="194" spans="1:14" x14ac:dyDescent="0.25">
      <c r="A194" t="s">
        <v>486</v>
      </c>
      <c r="B194" t="s">
        <v>517</v>
      </c>
      <c r="C194" t="s">
        <v>705</v>
      </c>
      <c r="D194">
        <v>2</v>
      </c>
      <c r="E194">
        <v>2</v>
      </c>
      <c r="F194">
        <v>1000</v>
      </c>
      <c r="G194" s="14">
        <v>45877</v>
      </c>
      <c r="H194" s="14">
        <v>45934</v>
      </c>
      <c r="I194">
        <v>58</v>
      </c>
      <c r="J194" s="15">
        <v>1321</v>
      </c>
      <c r="K194" s="16">
        <f t="shared" ref="K194:K257" si="6">IFERROR(J194/F194,0)</f>
        <v>1.321</v>
      </c>
      <c r="L194" s="15">
        <v>1118</v>
      </c>
      <c r="M194" s="16">
        <f t="shared" ref="M194:M257" si="7">IFERROR(L194/F194,0)</f>
        <v>1.1180000000000001</v>
      </c>
      <c r="N194" t="s">
        <v>178</v>
      </c>
    </row>
    <row r="195" spans="1:14" x14ac:dyDescent="0.25">
      <c r="A195" t="s">
        <v>451</v>
      </c>
      <c r="B195" t="s">
        <v>452</v>
      </c>
      <c r="C195" t="s">
        <v>706</v>
      </c>
      <c r="D195">
        <v>2</v>
      </c>
      <c r="E195">
        <v>2</v>
      </c>
      <c r="F195">
        <v>903</v>
      </c>
      <c r="G195" s="14">
        <v>45847</v>
      </c>
      <c r="H195" s="14">
        <v>45935</v>
      </c>
      <c r="I195">
        <v>89</v>
      </c>
      <c r="J195" s="15">
        <v>1200</v>
      </c>
      <c r="K195" s="16">
        <f t="shared" si="6"/>
        <v>1.3289036544850499</v>
      </c>
      <c r="L195" s="15">
        <v>1000</v>
      </c>
      <c r="M195" s="16">
        <f t="shared" si="7"/>
        <v>1.1074197120708749</v>
      </c>
      <c r="N195" t="s">
        <v>178</v>
      </c>
    </row>
    <row r="196" spans="1:14" x14ac:dyDescent="0.25">
      <c r="A196" t="s">
        <v>451</v>
      </c>
      <c r="B196" t="s">
        <v>460</v>
      </c>
      <c r="C196" t="s">
        <v>707</v>
      </c>
      <c r="D196">
        <v>1</v>
      </c>
      <c r="E196">
        <v>1</v>
      </c>
      <c r="F196">
        <v>726</v>
      </c>
      <c r="G196" s="14">
        <v>45801</v>
      </c>
      <c r="H196" s="14">
        <v>45936</v>
      </c>
      <c r="I196">
        <v>136</v>
      </c>
      <c r="J196" s="15">
        <v>1000</v>
      </c>
      <c r="K196" s="16">
        <f t="shared" si="6"/>
        <v>1.3774104683195592</v>
      </c>
      <c r="L196" s="15">
        <v>833</v>
      </c>
      <c r="M196" s="16">
        <f t="shared" si="7"/>
        <v>1.1473829201101928</v>
      </c>
      <c r="N196" t="s">
        <v>178</v>
      </c>
    </row>
    <row r="197" spans="1:14" x14ac:dyDescent="0.25">
      <c r="A197" t="s">
        <v>451</v>
      </c>
      <c r="B197" t="s">
        <v>468</v>
      </c>
      <c r="C197" t="s">
        <v>708</v>
      </c>
      <c r="D197">
        <v>2</v>
      </c>
      <c r="E197">
        <v>2</v>
      </c>
      <c r="F197">
        <v>810</v>
      </c>
      <c r="G197" s="14">
        <v>45869</v>
      </c>
      <c r="H197" s="14">
        <v>45936</v>
      </c>
      <c r="I197">
        <v>68</v>
      </c>
      <c r="J197" s="15">
        <v>1200</v>
      </c>
      <c r="K197" s="16">
        <f t="shared" si="6"/>
        <v>1.4814814814814814</v>
      </c>
      <c r="L197" s="15">
        <v>1000</v>
      </c>
      <c r="M197" s="16">
        <f t="shared" si="7"/>
        <v>1.2345679012345678</v>
      </c>
      <c r="N197" t="s">
        <v>178</v>
      </c>
    </row>
    <row r="198" spans="1:14" x14ac:dyDescent="0.25">
      <c r="A198" t="s">
        <v>462</v>
      </c>
      <c r="B198" t="s">
        <v>470</v>
      </c>
      <c r="C198" t="s">
        <v>702</v>
      </c>
      <c r="D198">
        <v>1</v>
      </c>
      <c r="E198">
        <v>1</v>
      </c>
      <c r="F198">
        <v>732</v>
      </c>
      <c r="G198" s="14">
        <v>45835</v>
      </c>
      <c r="H198" s="14">
        <v>45936</v>
      </c>
      <c r="I198">
        <v>102</v>
      </c>
      <c r="J198" s="15">
        <v>1425</v>
      </c>
      <c r="K198" s="16">
        <f t="shared" si="6"/>
        <v>1.9467213114754098</v>
      </c>
      <c r="L198" s="15">
        <v>1425</v>
      </c>
      <c r="M198" s="16">
        <f t="shared" si="7"/>
        <v>1.9467213114754098</v>
      </c>
      <c r="N198" t="s">
        <v>178</v>
      </c>
    </row>
    <row r="199" spans="1:14" x14ac:dyDescent="0.25">
      <c r="A199" t="s">
        <v>451</v>
      </c>
      <c r="B199" t="s">
        <v>460</v>
      </c>
      <c r="C199" t="s">
        <v>576</v>
      </c>
      <c r="D199">
        <v>1</v>
      </c>
      <c r="E199">
        <v>1</v>
      </c>
      <c r="F199">
        <v>726</v>
      </c>
      <c r="G199" s="14">
        <v>45727</v>
      </c>
      <c r="H199" s="14">
        <v>45937</v>
      </c>
      <c r="I199">
        <v>211</v>
      </c>
      <c r="J199" s="15">
        <v>1000</v>
      </c>
      <c r="K199" s="16">
        <f t="shared" si="6"/>
        <v>1.3774104683195592</v>
      </c>
      <c r="L199" s="15">
        <v>833</v>
      </c>
      <c r="M199" s="16">
        <f t="shared" si="7"/>
        <v>1.1473829201101928</v>
      </c>
      <c r="N199" t="s">
        <v>178</v>
      </c>
    </row>
    <row r="200" spans="1:14" x14ac:dyDescent="0.25">
      <c r="A200" t="s">
        <v>451</v>
      </c>
      <c r="B200" t="s">
        <v>452</v>
      </c>
      <c r="C200" t="s">
        <v>709</v>
      </c>
      <c r="D200">
        <v>2</v>
      </c>
      <c r="E200">
        <v>2</v>
      </c>
      <c r="F200">
        <v>903</v>
      </c>
      <c r="G200" s="14">
        <v>45882</v>
      </c>
      <c r="H200" s="14">
        <v>45937</v>
      </c>
      <c r="I200">
        <v>56</v>
      </c>
      <c r="J200" s="15">
        <v>1200</v>
      </c>
      <c r="K200" s="16">
        <f t="shared" si="6"/>
        <v>1.3289036544850499</v>
      </c>
      <c r="L200" s="15">
        <v>1000</v>
      </c>
      <c r="M200" s="16">
        <f t="shared" si="7"/>
        <v>1.1074197120708749</v>
      </c>
      <c r="N200" t="s">
        <v>178</v>
      </c>
    </row>
    <row r="201" spans="1:14" x14ac:dyDescent="0.25">
      <c r="A201" t="s">
        <v>486</v>
      </c>
      <c r="B201" t="s">
        <v>517</v>
      </c>
      <c r="C201" t="s">
        <v>710</v>
      </c>
      <c r="D201">
        <v>2</v>
      </c>
      <c r="E201">
        <v>2</v>
      </c>
      <c r="F201">
        <v>1000</v>
      </c>
      <c r="G201" s="14">
        <v>45492</v>
      </c>
      <c r="H201" s="14">
        <v>45937</v>
      </c>
      <c r="I201">
        <v>446</v>
      </c>
      <c r="J201" s="15">
        <v>1321</v>
      </c>
      <c r="K201" s="16">
        <f t="shared" si="6"/>
        <v>1.321</v>
      </c>
      <c r="L201" s="15">
        <v>1147</v>
      </c>
      <c r="M201" s="16">
        <f t="shared" si="7"/>
        <v>1.147</v>
      </c>
      <c r="N201" t="s">
        <v>178</v>
      </c>
    </row>
    <row r="202" spans="1:14" x14ac:dyDescent="0.25">
      <c r="A202" t="s">
        <v>486</v>
      </c>
      <c r="B202" t="s">
        <v>521</v>
      </c>
      <c r="C202" t="s">
        <v>711</v>
      </c>
      <c r="D202">
        <v>2</v>
      </c>
      <c r="E202">
        <v>2</v>
      </c>
      <c r="F202">
        <v>1000</v>
      </c>
      <c r="G202" s="14">
        <v>45835</v>
      </c>
      <c r="H202" s="14">
        <v>45937</v>
      </c>
      <c r="I202">
        <v>103</v>
      </c>
      <c r="J202" s="15">
        <v>1401</v>
      </c>
      <c r="K202" s="16">
        <f t="shared" si="6"/>
        <v>1.401</v>
      </c>
      <c r="L202" s="15">
        <v>1216</v>
      </c>
      <c r="M202" s="16">
        <f t="shared" si="7"/>
        <v>1.216</v>
      </c>
      <c r="N202" t="s">
        <v>178</v>
      </c>
    </row>
    <row r="203" spans="1:14" x14ac:dyDescent="0.25">
      <c r="A203" t="s">
        <v>457</v>
      </c>
      <c r="B203" t="s">
        <v>683</v>
      </c>
      <c r="C203" t="s">
        <v>712</v>
      </c>
      <c r="D203">
        <v>1</v>
      </c>
      <c r="E203">
        <v>1</v>
      </c>
      <c r="F203">
        <v>762</v>
      </c>
      <c r="G203" s="14">
        <v>45910</v>
      </c>
      <c r="H203" s="14">
        <v>45937</v>
      </c>
      <c r="I203">
        <v>28</v>
      </c>
      <c r="J203" s="15">
        <v>1184</v>
      </c>
      <c r="K203" s="16">
        <f t="shared" si="6"/>
        <v>1.5538057742782152</v>
      </c>
      <c r="L203" s="15">
        <v>1002</v>
      </c>
      <c r="M203" s="16">
        <f t="shared" si="7"/>
        <v>1.3149606299212599</v>
      </c>
      <c r="N203" t="s">
        <v>178</v>
      </c>
    </row>
    <row r="204" spans="1:14" x14ac:dyDescent="0.25">
      <c r="A204" t="s">
        <v>451</v>
      </c>
      <c r="B204" t="s">
        <v>460</v>
      </c>
      <c r="C204" t="s">
        <v>713</v>
      </c>
      <c r="D204">
        <v>1</v>
      </c>
      <c r="E204">
        <v>1</v>
      </c>
      <c r="F204">
        <v>726</v>
      </c>
      <c r="G204" s="14">
        <v>45919</v>
      </c>
      <c r="H204" s="14">
        <v>45938</v>
      </c>
      <c r="I204">
        <v>20</v>
      </c>
      <c r="J204" s="15">
        <v>1000</v>
      </c>
      <c r="K204" s="16">
        <f t="shared" si="6"/>
        <v>1.3774104683195592</v>
      </c>
      <c r="L204" s="15">
        <v>833</v>
      </c>
      <c r="M204" s="16">
        <f t="shared" si="7"/>
        <v>1.1473829201101928</v>
      </c>
      <c r="N204" t="s">
        <v>178</v>
      </c>
    </row>
    <row r="205" spans="1:14" x14ac:dyDescent="0.25">
      <c r="A205" t="s">
        <v>472</v>
      </c>
      <c r="B205" t="s">
        <v>496</v>
      </c>
      <c r="C205" t="s">
        <v>714</v>
      </c>
      <c r="D205">
        <v>1</v>
      </c>
      <c r="E205">
        <v>1</v>
      </c>
      <c r="F205">
        <v>625</v>
      </c>
      <c r="G205" s="14">
        <v>45931</v>
      </c>
      <c r="H205" s="14">
        <v>45938</v>
      </c>
      <c r="I205">
        <v>8</v>
      </c>
      <c r="J205" s="15">
        <v>1198</v>
      </c>
      <c r="K205" s="16">
        <f t="shared" si="6"/>
        <v>1.9168000000000001</v>
      </c>
      <c r="L205" s="15">
        <v>998</v>
      </c>
      <c r="M205" s="16">
        <f t="shared" si="7"/>
        <v>1.5968</v>
      </c>
      <c r="N205" t="s">
        <v>178</v>
      </c>
    </row>
    <row r="206" spans="1:14" x14ac:dyDescent="0.25">
      <c r="A206" t="s">
        <v>457</v>
      </c>
      <c r="B206" t="s">
        <v>458</v>
      </c>
      <c r="C206" t="s">
        <v>715</v>
      </c>
      <c r="D206">
        <v>1</v>
      </c>
      <c r="E206">
        <v>1</v>
      </c>
      <c r="F206">
        <v>762</v>
      </c>
      <c r="G206" s="14">
        <v>45798</v>
      </c>
      <c r="H206" s="14">
        <v>45938</v>
      </c>
      <c r="I206">
        <v>141</v>
      </c>
      <c r="J206" s="15">
        <v>1284</v>
      </c>
      <c r="K206" s="16">
        <f t="shared" si="6"/>
        <v>1.6850393700787401</v>
      </c>
      <c r="L206" s="15">
        <v>1086</v>
      </c>
      <c r="M206" s="16">
        <f t="shared" si="7"/>
        <v>1.4251968503937007</v>
      </c>
      <c r="N206" t="s">
        <v>178</v>
      </c>
    </row>
    <row r="207" spans="1:14" x14ac:dyDescent="0.25">
      <c r="A207" t="s">
        <v>451</v>
      </c>
      <c r="B207" t="s">
        <v>460</v>
      </c>
      <c r="C207" t="s">
        <v>716</v>
      </c>
      <c r="D207">
        <v>1</v>
      </c>
      <c r="E207">
        <v>1</v>
      </c>
      <c r="F207">
        <v>726</v>
      </c>
      <c r="G207" s="14">
        <v>45649</v>
      </c>
      <c r="H207" s="14">
        <v>45939</v>
      </c>
      <c r="I207">
        <v>291</v>
      </c>
      <c r="J207" s="15">
        <v>1000</v>
      </c>
      <c r="K207" s="16">
        <f t="shared" si="6"/>
        <v>1.3774104683195592</v>
      </c>
      <c r="L207" s="15">
        <v>833</v>
      </c>
      <c r="M207" s="16">
        <f t="shared" si="7"/>
        <v>1.1473829201101928</v>
      </c>
      <c r="N207" t="s">
        <v>178</v>
      </c>
    </row>
    <row r="208" spans="1:14" x14ac:dyDescent="0.25">
      <c r="A208" t="s">
        <v>451</v>
      </c>
      <c r="B208" t="s">
        <v>460</v>
      </c>
      <c r="C208" t="s">
        <v>717</v>
      </c>
      <c r="D208">
        <v>1</v>
      </c>
      <c r="E208">
        <v>1</v>
      </c>
      <c r="F208">
        <v>726</v>
      </c>
      <c r="G208" s="14">
        <v>45693</v>
      </c>
      <c r="H208" s="14">
        <v>45939</v>
      </c>
      <c r="I208">
        <v>247</v>
      </c>
      <c r="J208" s="15">
        <v>1000</v>
      </c>
      <c r="K208" s="16">
        <f t="shared" si="6"/>
        <v>1.3774104683195592</v>
      </c>
      <c r="L208" s="15">
        <v>833</v>
      </c>
      <c r="M208" s="16">
        <f t="shared" si="7"/>
        <v>1.1473829201101928</v>
      </c>
      <c r="N208" t="s">
        <v>178</v>
      </c>
    </row>
    <row r="209" spans="1:14" x14ac:dyDescent="0.25">
      <c r="A209" t="s">
        <v>454</v>
      </c>
      <c r="B209" t="s">
        <v>494</v>
      </c>
      <c r="C209" t="s">
        <v>718</v>
      </c>
      <c r="D209">
        <v>2</v>
      </c>
      <c r="E209">
        <v>2</v>
      </c>
      <c r="F209">
        <v>1001</v>
      </c>
      <c r="G209" s="14">
        <v>45895</v>
      </c>
      <c r="H209" s="14">
        <v>45939</v>
      </c>
      <c r="I209">
        <v>45</v>
      </c>
      <c r="J209" s="15">
        <v>1550</v>
      </c>
      <c r="K209" s="16">
        <f t="shared" si="6"/>
        <v>1.5484515484515484</v>
      </c>
      <c r="L209" s="15">
        <v>1550</v>
      </c>
      <c r="M209" s="16">
        <f t="shared" si="7"/>
        <v>1.5484515484515484</v>
      </c>
      <c r="N209" t="s">
        <v>178</v>
      </c>
    </row>
    <row r="210" spans="1:14" x14ac:dyDescent="0.25">
      <c r="A210" t="s">
        <v>472</v>
      </c>
      <c r="B210" t="s">
        <v>676</v>
      </c>
      <c r="C210" t="s">
        <v>719</v>
      </c>
      <c r="D210">
        <v>3</v>
      </c>
      <c r="E210">
        <v>2</v>
      </c>
      <c r="F210">
        <v>1000</v>
      </c>
      <c r="G210" s="14">
        <v>45831</v>
      </c>
      <c r="H210" s="14">
        <v>45939</v>
      </c>
      <c r="I210">
        <v>109</v>
      </c>
      <c r="J210" s="15">
        <v>1745</v>
      </c>
      <c r="K210" s="16">
        <f t="shared" si="6"/>
        <v>1.7450000000000001</v>
      </c>
      <c r="L210" s="15">
        <v>1454</v>
      </c>
      <c r="M210" s="16">
        <f t="shared" si="7"/>
        <v>1.454</v>
      </c>
      <c r="N210" t="s">
        <v>178</v>
      </c>
    </row>
    <row r="211" spans="1:14" x14ac:dyDescent="0.25">
      <c r="A211" t="s">
        <v>451</v>
      </c>
      <c r="B211" t="s">
        <v>557</v>
      </c>
      <c r="C211" t="s">
        <v>720</v>
      </c>
      <c r="D211">
        <v>2</v>
      </c>
      <c r="E211">
        <v>2</v>
      </c>
      <c r="F211">
        <v>885</v>
      </c>
      <c r="G211" s="14">
        <v>45925</v>
      </c>
      <c r="H211" s="14">
        <v>45940</v>
      </c>
      <c r="I211">
        <v>16</v>
      </c>
      <c r="J211" s="15">
        <v>1200</v>
      </c>
      <c r="K211" s="16">
        <f t="shared" si="6"/>
        <v>1.3559322033898304</v>
      </c>
      <c r="L211" s="15">
        <v>1000</v>
      </c>
      <c r="M211" s="16">
        <f t="shared" si="7"/>
        <v>1.1299435028248588</v>
      </c>
      <c r="N211" t="s">
        <v>178</v>
      </c>
    </row>
    <row r="212" spans="1:14" x14ac:dyDescent="0.25">
      <c r="A212" t="s">
        <v>472</v>
      </c>
      <c r="B212" t="s">
        <v>473</v>
      </c>
      <c r="C212" t="s">
        <v>721</v>
      </c>
      <c r="D212">
        <v>2</v>
      </c>
      <c r="E212">
        <v>1</v>
      </c>
      <c r="F212">
        <v>800</v>
      </c>
      <c r="G212" s="14">
        <v>45876</v>
      </c>
      <c r="H212" s="14">
        <v>45940</v>
      </c>
      <c r="I212">
        <v>65</v>
      </c>
      <c r="J212" s="15">
        <v>1498</v>
      </c>
      <c r="K212" s="16">
        <f t="shared" si="6"/>
        <v>1.8725000000000001</v>
      </c>
      <c r="L212" s="15">
        <v>1268</v>
      </c>
      <c r="M212" s="16">
        <f t="shared" si="7"/>
        <v>1.585</v>
      </c>
      <c r="N212" t="s">
        <v>178</v>
      </c>
    </row>
    <row r="213" spans="1:14" x14ac:dyDescent="0.25">
      <c r="A213" t="s">
        <v>472</v>
      </c>
      <c r="B213" t="s">
        <v>676</v>
      </c>
      <c r="C213" t="s">
        <v>722</v>
      </c>
      <c r="D213">
        <v>3</v>
      </c>
      <c r="E213">
        <v>2</v>
      </c>
      <c r="F213">
        <v>1000</v>
      </c>
      <c r="G213" s="14">
        <v>45798</v>
      </c>
      <c r="H213" s="14">
        <v>45940</v>
      </c>
      <c r="I213">
        <v>143</v>
      </c>
      <c r="J213" s="15">
        <v>1745</v>
      </c>
      <c r="K213" s="16">
        <f t="shared" si="6"/>
        <v>1.7450000000000001</v>
      </c>
      <c r="L213" s="15">
        <v>1477</v>
      </c>
      <c r="M213" s="16">
        <f t="shared" si="7"/>
        <v>1.4770000000000001</v>
      </c>
      <c r="N213" t="s">
        <v>178</v>
      </c>
    </row>
    <row r="214" spans="1:14" x14ac:dyDescent="0.25">
      <c r="A214" t="s">
        <v>486</v>
      </c>
      <c r="B214" t="s">
        <v>591</v>
      </c>
      <c r="C214" t="s">
        <v>723</v>
      </c>
      <c r="D214">
        <v>2</v>
      </c>
      <c r="E214">
        <v>1</v>
      </c>
      <c r="F214">
        <v>860</v>
      </c>
      <c r="G214" s="14">
        <v>45871</v>
      </c>
      <c r="H214" s="14">
        <v>45940</v>
      </c>
      <c r="I214">
        <v>70</v>
      </c>
      <c r="J214" s="15">
        <v>1453</v>
      </c>
      <c r="K214" s="16">
        <f t="shared" si="6"/>
        <v>1.6895348837209303</v>
      </c>
      <c r="L214" s="15">
        <v>1229</v>
      </c>
      <c r="M214" s="16">
        <f t="shared" si="7"/>
        <v>1.4290697674418604</v>
      </c>
      <c r="N214" t="s">
        <v>178</v>
      </c>
    </row>
    <row r="215" spans="1:14" x14ac:dyDescent="0.25">
      <c r="A215" t="s">
        <v>465</v>
      </c>
      <c r="B215" t="s">
        <v>603</v>
      </c>
      <c r="C215" t="s">
        <v>724</v>
      </c>
      <c r="D215">
        <v>2</v>
      </c>
      <c r="E215">
        <v>2</v>
      </c>
      <c r="F215">
        <v>1011</v>
      </c>
      <c r="G215" s="14">
        <v>45931</v>
      </c>
      <c r="H215" s="14">
        <v>45940</v>
      </c>
      <c r="I215">
        <v>10</v>
      </c>
      <c r="J215" s="15">
        <v>1281</v>
      </c>
      <c r="K215" s="16">
        <f t="shared" si="6"/>
        <v>1.2670623145400592</v>
      </c>
      <c r="L215" s="15">
        <v>1084</v>
      </c>
      <c r="M215" s="16">
        <f t="shared" si="7"/>
        <v>1.0722057368941642</v>
      </c>
      <c r="N215" t="s">
        <v>178</v>
      </c>
    </row>
    <row r="216" spans="1:14" x14ac:dyDescent="0.25">
      <c r="A216" t="s">
        <v>451</v>
      </c>
      <c r="B216" t="s">
        <v>725</v>
      </c>
      <c r="C216" t="s">
        <v>726</v>
      </c>
      <c r="D216">
        <v>1</v>
      </c>
      <c r="E216">
        <v>1</v>
      </c>
      <c r="F216">
        <v>615</v>
      </c>
      <c r="G216" s="14">
        <v>45525</v>
      </c>
      <c r="H216" s="14">
        <v>45941</v>
      </c>
      <c r="I216">
        <v>417</v>
      </c>
      <c r="J216" s="15">
        <v>1000</v>
      </c>
      <c r="K216" s="16">
        <f t="shared" si="6"/>
        <v>1.6260162601626016</v>
      </c>
      <c r="L216" s="15">
        <v>833</v>
      </c>
      <c r="M216" s="16">
        <f t="shared" si="7"/>
        <v>1.3544715447154472</v>
      </c>
      <c r="N216" t="s">
        <v>178</v>
      </c>
    </row>
    <row r="217" spans="1:14" x14ac:dyDescent="0.25">
      <c r="A217" t="s">
        <v>451</v>
      </c>
      <c r="B217" t="s">
        <v>468</v>
      </c>
      <c r="C217" t="s">
        <v>727</v>
      </c>
      <c r="D217">
        <v>2</v>
      </c>
      <c r="E217">
        <v>2</v>
      </c>
      <c r="F217">
        <v>810</v>
      </c>
      <c r="G217" s="14">
        <v>45845</v>
      </c>
      <c r="H217" s="14">
        <v>45941</v>
      </c>
      <c r="I217">
        <v>97</v>
      </c>
      <c r="J217" s="15">
        <v>1200</v>
      </c>
      <c r="K217" s="16">
        <f t="shared" si="6"/>
        <v>1.4814814814814814</v>
      </c>
      <c r="L217" s="15">
        <v>1000</v>
      </c>
      <c r="M217" s="16">
        <f t="shared" si="7"/>
        <v>1.2345679012345678</v>
      </c>
      <c r="N217" t="s">
        <v>178</v>
      </c>
    </row>
    <row r="218" spans="1:14" x14ac:dyDescent="0.25">
      <c r="A218" t="s">
        <v>451</v>
      </c>
      <c r="B218" t="s">
        <v>468</v>
      </c>
      <c r="C218" t="s">
        <v>728</v>
      </c>
      <c r="D218">
        <v>2</v>
      </c>
      <c r="E218">
        <v>2</v>
      </c>
      <c r="F218">
        <v>810</v>
      </c>
      <c r="G218" s="14">
        <v>45720</v>
      </c>
      <c r="H218" s="14">
        <v>45942</v>
      </c>
      <c r="I218">
        <v>223</v>
      </c>
      <c r="J218" s="15">
        <v>1200</v>
      </c>
      <c r="K218" s="16">
        <f t="shared" si="6"/>
        <v>1.4814814814814814</v>
      </c>
      <c r="L218" s="15">
        <v>1000</v>
      </c>
      <c r="M218" s="16">
        <f t="shared" si="7"/>
        <v>1.2345679012345678</v>
      </c>
      <c r="N218" t="s">
        <v>178</v>
      </c>
    </row>
    <row r="219" spans="1:14" x14ac:dyDescent="0.25">
      <c r="A219" t="s">
        <v>451</v>
      </c>
      <c r="B219" t="s">
        <v>468</v>
      </c>
      <c r="C219" t="s">
        <v>729</v>
      </c>
      <c r="D219">
        <v>2</v>
      </c>
      <c r="E219">
        <v>2</v>
      </c>
      <c r="F219">
        <v>810</v>
      </c>
      <c r="G219" s="14">
        <v>45910</v>
      </c>
      <c r="H219" s="14">
        <v>45943</v>
      </c>
      <c r="I219">
        <v>34</v>
      </c>
      <c r="J219" s="15">
        <v>1200</v>
      </c>
      <c r="K219" s="16">
        <f t="shared" si="6"/>
        <v>1.4814814814814814</v>
      </c>
      <c r="L219" s="15">
        <v>1000</v>
      </c>
      <c r="M219" s="16">
        <f t="shared" si="7"/>
        <v>1.2345679012345678</v>
      </c>
      <c r="N219" t="s">
        <v>178</v>
      </c>
    </row>
    <row r="220" spans="1:14" x14ac:dyDescent="0.25">
      <c r="A220" t="s">
        <v>462</v>
      </c>
      <c r="B220" t="s">
        <v>475</v>
      </c>
      <c r="C220" t="s">
        <v>730</v>
      </c>
      <c r="D220">
        <v>2</v>
      </c>
      <c r="E220">
        <v>2</v>
      </c>
      <c r="F220">
        <v>1029</v>
      </c>
      <c r="G220" s="14">
        <v>45858</v>
      </c>
      <c r="H220" s="14">
        <v>45944</v>
      </c>
      <c r="I220">
        <v>87</v>
      </c>
      <c r="J220" s="15">
        <v>1725</v>
      </c>
      <c r="K220" s="16">
        <f t="shared" si="6"/>
        <v>1.6763848396501457</v>
      </c>
      <c r="L220" s="15">
        <v>1725</v>
      </c>
      <c r="M220" s="16">
        <f t="shared" si="7"/>
        <v>1.6763848396501457</v>
      </c>
      <c r="N220" t="s">
        <v>178</v>
      </c>
    </row>
    <row r="221" spans="1:14" x14ac:dyDescent="0.25">
      <c r="A221" t="s">
        <v>451</v>
      </c>
      <c r="B221" t="s">
        <v>452</v>
      </c>
      <c r="C221" t="s">
        <v>731</v>
      </c>
      <c r="D221">
        <v>2</v>
      </c>
      <c r="E221">
        <v>2</v>
      </c>
      <c r="F221">
        <v>903</v>
      </c>
      <c r="G221" s="14">
        <v>45890</v>
      </c>
      <c r="H221" s="14">
        <v>45945</v>
      </c>
      <c r="I221">
        <v>56</v>
      </c>
      <c r="J221" s="15">
        <v>1200</v>
      </c>
      <c r="K221" s="16">
        <f t="shared" si="6"/>
        <v>1.3289036544850499</v>
      </c>
      <c r="L221" s="15">
        <v>1000</v>
      </c>
      <c r="M221" s="16">
        <f t="shared" si="7"/>
        <v>1.1074197120708749</v>
      </c>
      <c r="N221" t="s">
        <v>178</v>
      </c>
    </row>
    <row r="222" spans="1:14" x14ac:dyDescent="0.25">
      <c r="A222" t="s">
        <v>454</v>
      </c>
      <c r="B222" t="s">
        <v>481</v>
      </c>
      <c r="C222" t="s">
        <v>732</v>
      </c>
      <c r="D222">
        <v>2</v>
      </c>
      <c r="E222">
        <v>2</v>
      </c>
      <c r="F222">
        <v>1001</v>
      </c>
      <c r="G222" s="14">
        <v>45826</v>
      </c>
      <c r="H222" s="14">
        <v>45945</v>
      </c>
      <c r="I222">
        <v>120</v>
      </c>
      <c r="J222" s="15">
        <v>1425</v>
      </c>
      <c r="K222" s="16">
        <f t="shared" si="6"/>
        <v>1.4235764235764237</v>
      </c>
      <c r="L222" s="15">
        <v>1425</v>
      </c>
      <c r="M222" s="16">
        <f t="shared" si="7"/>
        <v>1.4235764235764237</v>
      </c>
      <c r="N222" t="s">
        <v>178</v>
      </c>
    </row>
    <row r="223" spans="1:14" x14ac:dyDescent="0.25">
      <c r="A223" t="s">
        <v>454</v>
      </c>
      <c r="B223" t="s">
        <v>455</v>
      </c>
      <c r="C223" t="s">
        <v>733</v>
      </c>
      <c r="D223">
        <v>2</v>
      </c>
      <c r="E223">
        <v>2</v>
      </c>
      <c r="F223">
        <v>1001</v>
      </c>
      <c r="G223" s="14">
        <v>45862</v>
      </c>
      <c r="H223" s="14">
        <v>45945</v>
      </c>
      <c r="I223">
        <v>84</v>
      </c>
      <c r="J223" s="15">
        <v>1475</v>
      </c>
      <c r="K223" s="16">
        <f t="shared" si="6"/>
        <v>1.4735264735264735</v>
      </c>
      <c r="L223" s="15">
        <v>1475</v>
      </c>
      <c r="M223" s="16">
        <f t="shared" si="7"/>
        <v>1.4735264735264735</v>
      </c>
      <c r="N223" t="s">
        <v>178</v>
      </c>
    </row>
    <row r="224" spans="1:14" x14ac:dyDescent="0.25">
      <c r="A224" t="s">
        <v>457</v>
      </c>
      <c r="B224" t="s">
        <v>458</v>
      </c>
      <c r="C224" t="s">
        <v>734</v>
      </c>
      <c r="D224">
        <v>1</v>
      </c>
      <c r="E224">
        <v>1</v>
      </c>
      <c r="F224">
        <v>762</v>
      </c>
      <c r="G224" s="14">
        <v>45913</v>
      </c>
      <c r="H224" s="14">
        <v>45945</v>
      </c>
      <c r="I224">
        <v>33</v>
      </c>
      <c r="J224" s="15">
        <v>1324</v>
      </c>
      <c r="K224" s="16">
        <f t="shared" si="6"/>
        <v>1.7375328083989501</v>
      </c>
      <c r="L224" s="15">
        <v>1120</v>
      </c>
      <c r="M224" s="16">
        <f t="shared" si="7"/>
        <v>1.4698162729658792</v>
      </c>
      <c r="N224" t="s">
        <v>178</v>
      </c>
    </row>
    <row r="225" spans="1:14" x14ac:dyDescent="0.25">
      <c r="A225" t="s">
        <v>465</v>
      </c>
      <c r="B225" t="s">
        <v>623</v>
      </c>
      <c r="C225" t="s">
        <v>735</v>
      </c>
      <c r="D225">
        <v>2</v>
      </c>
      <c r="E225">
        <v>1</v>
      </c>
      <c r="F225">
        <v>874</v>
      </c>
      <c r="G225" s="14">
        <v>45849</v>
      </c>
      <c r="H225" s="14">
        <v>45945</v>
      </c>
      <c r="I225">
        <v>97</v>
      </c>
      <c r="J225" s="15">
        <v>1296</v>
      </c>
      <c r="K225" s="16">
        <f t="shared" si="6"/>
        <v>1.4828375286041191</v>
      </c>
      <c r="L225" s="15">
        <v>1096</v>
      </c>
      <c r="M225" s="16">
        <f t="shared" si="7"/>
        <v>1.2540045766590389</v>
      </c>
      <c r="N225" t="s">
        <v>178</v>
      </c>
    </row>
    <row r="226" spans="1:14" x14ac:dyDescent="0.25">
      <c r="A226" t="s">
        <v>465</v>
      </c>
      <c r="B226" t="s">
        <v>603</v>
      </c>
      <c r="C226" t="s">
        <v>736</v>
      </c>
      <c r="D226">
        <v>2</v>
      </c>
      <c r="E226">
        <v>2</v>
      </c>
      <c r="F226">
        <v>1011</v>
      </c>
      <c r="G226" s="14">
        <v>45936</v>
      </c>
      <c r="H226" s="14">
        <v>45945</v>
      </c>
      <c r="I226">
        <v>10</v>
      </c>
      <c r="J226" s="15">
        <v>1281</v>
      </c>
      <c r="K226" s="16">
        <f t="shared" si="6"/>
        <v>1.2670623145400592</v>
      </c>
      <c r="L226" s="15">
        <v>1084</v>
      </c>
      <c r="M226" s="16">
        <f t="shared" si="7"/>
        <v>1.0722057368941642</v>
      </c>
      <c r="N226" t="s">
        <v>178</v>
      </c>
    </row>
    <row r="227" spans="1:14" x14ac:dyDescent="0.25">
      <c r="A227" t="s">
        <v>451</v>
      </c>
      <c r="B227" t="s">
        <v>460</v>
      </c>
      <c r="C227" t="s">
        <v>737</v>
      </c>
      <c r="D227">
        <v>1</v>
      </c>
      <c r="E227">
        <v>1</v>
      </c>
      <c r="F227">
        <v>726</v>
      </c>
      <c r="G227" s="14">
        <v>45939</v>
      </c>
      <c r="H227" s="14">
        <v>45946</v>
      </c>
      <c r="I227">
        <v>8</v>
      </c>
      <c r="J227" s="15">
        <v>1000</v>
      </c>
      <c r="K227" s="16">
        <f t="shared" si="6"/>
        <v>1.3774104683195592</v>
      </c>
      <c r="L227" s="15">
        <v>833</v>
      </c>
      <c r="M227" s="16">
        <f t="shared" si="7"/>
        <v>1.1473829201101928</v>
      </c>
      <c r="N227" t="s">
        <v>178</v>
      </c>
    </row>
    <row r="228" spans="1:14" x14ac:dyDescent="0.25">
      <c r="A228" t="s">
        <v>457</v>
      </c>
      <c r="B228" t="s">
        <v>523</v>
      </c>
      <c r="C228" t="s">
        <v>738</v>
      </c>
      <c r="D228">
        <v>2</v>
      </c>
      <c r="E228">
        <v>2</v>
      </c>
      <c r="F228">
        <v>1001</v>
      </c>
      <c r="G228" s="14">
        <v>45813</v>
      </c>
      <c r="H228" s="14">
        <v>45946</v>
      </c>
      <c r="I228">
        <v>134</v>
      </c>
      <c r="J228" s="15">
        <v>1397</v>
      </c>
      <c r="K228" s="16">
        <f t="shared" si="6"/>
        <v>1.3956043956043955</v>
      </c>
      <c r="L228" s="15">
        <v>1182</v>
      </c>
      <c r="M228" s="16">
        <f t="shared" si="7"/>
        <v>1.1808191808191808</v>
      </c>
      <c r="N228" t="s">
        <v>178</v>
      </c>
    </row>
    <row r="229" spans="1:14" x14ac:dyDescent="0.25">
      <c r="A229" t="s">
        <v>462</v>
      </c>
      <c r="B229" t="s">
        <v>470</v>
      </c>
      <c r="C229" t="s">
        <v>739</v>
      </c>
      <c r="D229">
        <v>1</v>
      </c>
      <c r="E229">
        <v>1</v>
      </c>
      <c r="F229">
        <v>732</v>
      </c>
      <c r="G229" s="14">
        <v>45835</v>
      </c>
      <c r="H229" s="14">
        <v>45947</v>
      </c>
      <c r="I229">
        <v>113</v>
      </c>
      <c r="J229" s="15">
        <v>1325</v>
      </c>
      <c r="K229" s="16">
        <f t="shared" si="6"/>
        <v>1.8101092896174864</v>
      </c>
      <c r="L229" s="15">
        <v>994</v>
      </c>
      <c r="M229" s="16">
        <f t="shared" si="7"/>
        <v>1.3579234972677596</v>
      </c>
      <c r="N229" t="s">
        <v>178</v>
      </c>
    </row>
    <row r="230" spans="1:14" x14ac:dyDescent="0.25">
      <c r="A230" t="s">
        <v>462</v>
      </c>
      <c r="B230" t="s">
        <v>470</v>
      </c>
      <c r="C230" t="s">
        <v>740</v>
      </c>
      <c r="D230">
        <v>1</v>
      </c>
      <c r="E230">
        <v>1</v>
      </c>
      <c r="F230">
        <v>732</v>
      </c>
      <c r="G230" s="14">
        <v>45811</v>
      </c>
      <c r="H230" s="14">
        <v>45947</v>
      </c>
      <c r="I230">
        <v>137</v>
      </c>
      <c r="J230" s="15">
        <v>1325</v>
      </c>
      <c r="K230" s="16">
        <f t="shared" si="6"/>
        <v>1.8101092896174864</v>
      </c>
      <c r="L230" s="15">
        <v>994</v>
      </c>
      <c r="M230" s="16">
        <f t="shared" si="7"/>
        <v>1.3579234972677596</v>
      </c>
      <c r="N230" t="s">
        <v>178</v>
      </c>
    </row>
    <row r="231" spans="1:14" x14ac:dyDescent="0.25">
      <c r="A231" t="s">
        <v>454</v>
      </c>
      <c r="B231" t="s">
        <v>481</v>
      </c>
      <c r="C231" t="s">
        <v>741</v>
      </c>
      <c r="D231">
        <v>2</v>
      </c>
      <c r="E231">
        <v>2</v>
      </c>
      <c r="F231">
        <v>1001</v>
      </c>
      <c r="G231" s="14">
        <v>45903</v>
      </c>
      <c r="H231" s="14">
        <v>45947</v>
      </c>
      <c r="I231">
        <v>45</v>
      </c>
      <c r="J231" s="15">
        <v>1450</v>
      </c>
      <c r="K231" s="16">
        <f t="shared" si="6"/>
        <v>1.4485514485514486</v>
      </c>
      <c r="L231" s="15">
        <v>1450</v>
      </c>
      <c r="M231" s="16">
        <f t="shared" si="7"/>
        <v>1.4485514485514486</v>
      </c>
      <c r="N231" t="s">
        <v>178</v>
      </c>
    </row>
    <row r="232" spans="1:14" x14ac:dyDescent="0.25">
      <c r="A232" t="s">
        <v>472</v>
      </c>
      <c r="B232" t="s">
        <v>473</v>
      </c>
      <c r="C232" t="s">
        <v>742</v>
      </c>
      <c r="D232">
        <v>2</v>
      </c>
      <c r="E232">
        <v>1</v>
      </c>
      <c r="F232">
        <v>800</v>
      </c>
      <c r="G232" s="14">
        <v>45933</v>
      </c>
      <c r="H232" s="14">
        <v>45947</v>
      </c>
      <c r="I232">
        <v>15</v>
      </c>
      <c r="J232" s="15">
        <v>1663</v>
      </c>
      <c r="K232" s="16">
        <f t="shared" si="6"/>
        <v>2.0787499999999999</v>
      </c>
      <c r="L232" s="15">
        <v>1425</v>
      </c>
      <c r="M232" s="16">
        <f t="shared" si="7"/>
        <v>1.78125</v>
      </c>
      <c r="N232" t="s">
        <v>178</v>
      </c>
    </row>
    <row r="233" spans="1:14" x14ac:dyDescent="0.25">
      <c r="A233" t="s">
        <v>451</v>
      </c>
      <c r="B233" t="s">
        <v>452</v>
      </c>
      <c r="C233" t="s">
        <v>743</v>
      </c>
      <c r="D233">
        <v>2</v>
      </c>
      <c r="E233">
        <v>2</v>
      </c>
      <c r="F233">
        <v>903</v>
      </c>
      <c r="G233" s="14">
        <v>45855</v>
      </c>
      <c r="H233" s="14">
        <v>45948</v>
      </c>
      <c r="I233">
        <v>94</v>
      </c>
      <c r="J233" s="15">
        <v>1200</v>
      </c>
      <c r="K233" s="16">
        <f t="shared" si="6"/>
        <v>1.3289036544850499</v>
      </c>
      <c r="L233" s="15">
        <v>1000</v>
      </c>
      <c r="M233" s="16">
        <f t="shared" si="7"/>
        <v>1.1074197120708749</v>
      </c>
      <c r="N233" t="s">
        <v>178</v>
      </c>
    </row>
    <row r="234" spans="1:14" x14ac:dyDescent="0.25">
      <c r="A234" t="s">
        <v>451</v>
      </c>
      <c r="B234" t="s">
        <v>533</v>
      </c>
      <c r="C234" t="s">
        <v>744</v>
      </c>
      <c r="D234">
        <v>1</v>
      </c>
      <c r="E234">
        <v>1</v>
      </c>
      <c r="F234">
        <v>600</v>
      </c>
      <c r="G234" s="14">
        <v>45859</v>
      </c>
      <c r="H234" s="14">
        <v>45949</v>
      </c>
      <c r="I234">
        <v>91</v>
      </c>
      <c r="J234" s="15">
        <v>1000</v>
      </c>
      <c r="K234" s="16">
        <f t="shared" si="6"/>
        <v>1.6666666666666667</v>
      </c>
      <c r="L234" s="15">
        <v>833</v>
      </c>
      <c r="M234" s="16">
        <f t="shared" si="7"/>
        <v>1.3883333333333334</v>
      </c>
      <c r="N234" t="s">
        <v>178</v>
      </c>
    </row>
    <row r="235" spans="1:14" x14ac:dyDescent="0.25">
      <c r="A235" t="s">
        <v>451</v>
      </c>
      <c r="B235" t="s">
        <v>725</v>
      </c>
      <c r="C235" t="s">
        <v>745</v>
      </c>
      <c r="D235">
        <v>1</v>
      </c>
      <c r="E235">
        <v>1</v>
      </c>
      <c r="F235">
        <v>615</v>
      </c>
      <c r="G235" s="14">
        <v>45688</v>
      </c>
      <c r="H235" s="14">
        <v>45949</v>
      </c>
      <c r="I235">
        <v>262</v>
      </c>
      <c r="J235" s="15">
        <v>1000</v>
      </c>
      <c r="K235" s="16">
        <f t="shared" si="6"/>
        <v>1.6260162601626016</v>
      </c>
      <c r="L235" s="15">
        <v>833</v>
      </c>
      <c r="M235" s="16">
        <f t="shared" si="7"/>
        <v>1.3544715447154472</v>
      </c>
      <c r="N235" t="s">
        <v>178</v>
      </c>
    </row>
    <row r="236" spans="1:14" x14ac:dyDescent="0.25">
      <c r="A236" t="s">
        <v>472</v>
      </c>
      <c r="B236" t="s">
        <v>473</v>
      </c>
      <c r="C236" t="s">
        <v>746</v>
      </c>
      <c r="D236">
        <v>2</v>
      </c>
      <c r="E236">
        <v>1</v>
      </c>
      <c r="F236">
        <v>800</v>
      </c>
      <c r="G236" s="14">
        <v>45918</v>
      </c>
      <c r="H236" s="14">
        <v>45949</v>
      </c>
      <c r="I236">
        <v>32</v>
      </c>
      <c r="J236" s="15">
        <v>1348</v>
      </c>
      <c r="K236" s="16">
        <f t="shared" si="6"/>
        <v>1.6850000000000001</v>
      </c>
      <c r="L236" s="15">
        <v>1155</v>
      </c>
      <c r="M236" s="16">
        <f t="shared" si="7"/>
        <v>1.4437500000000001</v>
      </c>
      <c r="N236" t="s">
        <v>178</v>
      </c>
    </row>
    <row r="237" spans="1:14" x14ac:dyDescent="0.25">
      <c r="A237" t="s">
        <v>472</v>
      </c>
      <c r="B237" t="s">
        <v>473</v>
      </c>
      <c r="C237" t="s">
        <v>747</v>
      </c>
      <c r="D237">
        <v>2</v>
      </c>
      <c r="E237">
        <v>1</v>
      </c>
      <c r="F237">
        <v>800</v>
      </c>
      <c r="G237" s="14">
        <v>45856</v>
      </c>
      <c r="H237" s="14">
        <v>45949</v>
      </c>
      <c r="I237">
        <v>94</v>
      </c>
      <c r="J237" s="15">
        <v>1398</v>
      </c>
      <c r="K237" s="16">
        <f t="shared" si="6"/>
        <v>1.7475000000000001</v>
      </c>
      <c r="L237" s="15">
        <v>1198</v>
      </c>
      <c r="M237" s="16">
        <f t="shared" si="7"/>
        <v>1.4975000000000001</v>
      </c>
      <c r="N237" t="s">
        <v>178</v>
      </c>
    </row>
    <row r="238" spans="1:14" x14ac:dyDescent="0.25">
      <c r="A238" t="s">
        <v>451</v>
      </c>
      <c r="B238" t="s">
        <v>725</v>
      </c>
      <c r="C238" t="s">
        <v>748</v>
      </c>
      <c r="D238">
        <v>1</v>
      </c>
      <c r="E238">
        <v>1</v>
      </c>
      <c r="F238">
        <v>615</v>
      </c>
      <c r="G238" s="14">
        <v>45556</v>
      </c>
      <c r="H238" s="14">
        <v>45950</v>
      </c>
      <c r="I238">
        <v>395</v>
      </c>
      <c r="J238" s="15">
        <v>1000</v>
      </c>
      <c r="K238" s="16">
        <f t="shared" si="6"/>
        <v>1.6260162601626016</v>
      </c>
      <c r="L238" s="15">
        <v>833</v>
      </c>
      <c r="M238" s="16">
        <f t="shared" si="7"/>
        <v>1.3544715447154472</v>
      </c>
      <c r="N238" t="s">
        <v>178</v>
      </c>
    </row>
    <row r="239" spans="1:14" x14ac:dyDescent="0.25">
      <c r="A239" t="s">
        <v>472</v>
      </c>
      <c r="B239" t="s">
        <v>496</v>
      </c>
      <c r="C239" t="s">
        <v>749</v>
      </c>
      <c r="D239">
        <v>1</v>
      </c>
      <c r="E239">
        <v>1</v>
      </c>
      <c r="F239">
        <v>625</v>
      </c>
      <c r="G239" s="14">
        <v>45856</v>
      </c>
      <c r="H239" s="14">
        <v>45950</v>
      </c>
      <c r="I239">
        <v>95</v>
      </c>
      <c r="J239" s="15">
        <v>1298</v>
      </c>
      <c r="K239" s="16">
        <f t="shared" si="6"/>
        <v>2.0768</v>
      </c>
      <c r="L239" s="15">
        <v>1125</v>
      </c>
      <c r="M239" s="16">
        <f t="shared" si="7"/>
        <v>1.8</v>
      </c>
      <c r="N239" t="s">
        <v>178</v>
      </c>
    </row>
    <row r="240" spans="1:14" x14ac:dyDescent="0.25">
      <c r="A240" t="s">
        <v>451</v>
      </c>
      <c r="B240" t="s">
        <v>468</v>
      </c>
      <c r="C240" t="s">
        <v>750</v>
      </c>
      <c r="D240">
        <v>2</v>
      </c>
      <c r="E240">
        <v>2</v>
      </c>
      <c r="F240">
        <v>810</v>
      </c>
      <c r="G240" s="14">
        <v>45880</v>
      </c>
      <c r="H240" s="14">
        <v>45951</v>
      </c>
      <c r="I240">
        <v>72</v>
      </c>
      <c r="J240" s="15">
        <v>1200</v>
      </c>
      <c r="K240" s="16">
        <f t="shared" si="6"/>
        <v>1.4814814814814814</v>
      </c>
      <c r="L240" s="15">
        <v>1000</v>
      </c>
      <c r="M240" s="16">
        <f t="shared" si="7"/>
        <v>1.2345679012345678</v>
      </c>
      <c r="N240" t="s">
        <v>178</v>
      </c>
    </row>
    <row r="241" spans="1:14" x14ac:dyDescent="0.25">
      <c r="A241" t="s">
        <v>465</v>
      </c>
      <c r="B241" t="s">
        <v>502</v>
      </c>
      <c r="C241" t="s">
        <v>751</v>
      </c>
      <c r="D241">
        <v>2</v>
      </c>
      <c r="E241">
        <v>2</v>
      </c>
      <c r="F241">
        <v>1011</v>
      </c>
      <c r="G241" s="14">
        <v>45938</v>
      </c>
      <c r="H241" s="14">
        <v>45951</v>
      </c>
      <c r="I241">
        <v>14</v>
      </c>
      <c r="J241" s="15">
        <v>1391</v>
      </c>
      <c r="K241" s="16">
        <f t="shared" si="6"/>
        <v>1.3758654797230465</v>
      </c>
      <c r="L241" s="15">
        <v>1193</v>
      </c>
      <c r="M241" s="16">
        <f t="shared" si="7"/>
        <v>1.1800197823936696</v>
      </c>
      <c r="N241" t="s">
        <v>178</v>
      </c>
    </row>
    <row r="242" spans="1:14" x14ac:dyDescent="0.25">
      <c r="A242" t="s">
        <v>451</v>
      </c>
      <c r="B242" t="s">
        <v>460</v>
      </c>
      <c r="C242" t="s">
        <v>752</v>
      </c>
      <c r="D242">
        <v>1</v>
      </c>
      <c r="E242">
        <v>1</v>
      </c>
      <c r="F242">
        <v>726</v>
      </c>
      <c r="G242" s="14">
        <v>45933</v>
      </c>
      <c r="H242" s="14">
        <v>45952</v>
      </c>
      <c r="I242">
        <v>20</v>
      </c>
      <c r="J242" s="15">
        <v>1000</v>
      </c>
      <c r="K242" s="16">
        <f t="shared" si="6"/>
        <v>1.3774104683195592</v>
      </c>
      <c r="L242" s="15">
        <v>833</v>
      </c>
      <c r="M242" s="16">
        <f t="shared" si="7"/>
        <v>1.1473829201101928</v>
      </c>
      <c r="N242" t="s">
        <v>178</v>
      </c>
    </row>
    <row r="243" spans="1:14" x14ac:dyDescent="0.25">
      <c r="A243" t="s">
        <v>451</v>
      </c>
      <c r="B243" t="s">
        <v>468</v>
      </c>
      <c r="C243" t="s">
        <v>753</v>
      </c>
      <c r="D243">
        <v>2</v>
      </c>
      <c r="E243">
        <v>2</v>
      </c>
      <c r="F243">
        <v>810</v>
      </c>
      <c r="G243" s="14">
        <v>45745</v>
      </c>
      <c r="H243" s="14">
        <v>45952</v>
      </c>
      <c r="I243">
        <v>208</v>
      </c>
      <c r="J243" s="15">
        <v>1200</v>
      </c>
      <c r="K243" s="16">
        <f t="shared" si="6"/>
        <v>1.4814814814814814</v>
      </c>
      <c r="L243" s="15">
        <v>1000</v>
      </c>
      <c r="M243" s="16">
        <f t="shared" si="7"/>
        <v>1.2345679012345678</v>
      </c>
      <c r="N243" t="s">
        <v>178</v>
      </c>
    </row>
    <row r="244" spans="1:14" x14ac:dyDescent="0.25">
      <c r="A244" t="s">
        <v>451</v>
      </c>
      <c r="B244" t="s">
        <v>452</v>
      </c>
      <c r="C244" t="s">
        <v>754</v>
      </c>
      <c r="D244">
        <v>2</v>
      </c>
      <c r="E244">
        <v>2</v>
      </c>
      <c r="F244">
        <v>903</v>
      </c>
      <c r="G244" s="14">
        <v>45513</v>
      </c>
      <c r="H244" s="14">
        <v>45952</v>
      </c>
      <c r="I244">
        <v>440</v>
      </c>
      <c r="J244" s="15">
        <v>1200</v>
      </c>
      <c r="K244" s="16">
        <f t="shared" si="6"/>
        <v>1.3289036544850499</v>
      </c>
      <c r="L244" s="15">
        <v>1000</v>
      </c>
      <c r="M244" s="16">
        <f t="shared" si="7"/>
        <v>1.1074197120708749</v>
      </c>
      <c r="N244" t="s">
        <v>178</v>
      </c>
    </row>
    <row r="245" spans="1:14" x14ac:dyDescent="0.25">
      <c r="A245" t="s">
        <v>472</v>
      </c>
      <c r="B245" t="s">
        <v>473</v>
      </c>
      <c r="C245" t="s">
        <v>755</v>
      </c>
      <c r="D245">
        <v>2</v>
      </c>
      <c r="E245">
        <v>1</v>
      </c>
      <c r="F245">
        <v>800</v>
      </c>
      <c r="G245" s="14">
        <v>45876</v>
      </c>
      <c r="H245" s="14">
        <v>45952</v>
      </c>
      <c r="I245">
        <v>77</v>
      </c>
      <c r="J245" s="15">
        <v>1348</v>
      </c>
      <c r="K245" s="16">
        <f t="shared" si="6"/>
        <v>1.6850000000000001</v>
      </c>
      <c r="L245" s="15">
        <v>1155</v>
      </c>
      <c r="M245" s="16">
        <f t="shared" si="7"/>
        <v>1.4437500000000001</v>
      </c>
      <c r="N245" t="s">
        <v>178</v>
      </c>
    </row>
    <row r="246" spans="1:14" x14ac:dyDescent="0.25">
      <c r="A246" t="s">
        <v>451</v>
      </c>
      <c r="B246" t="s">
        <v>557</v>
      </c>
      <c r="C246" t="s">
        <v>756</v>
      </c>
      <c r="D246">
        <v>2</v>
      </c>
      <c r="E246">
        <v>2</v>
      </c>
      <c r="F246">
        <v>885</v>
      </c>
      <c r="G246" s="14">
        <v>45674</v>
      </c>
      <c r="H246" s="14">
        <v>45953</v>
      </c>
      <c r="I246">
        <v>280</v>
      </c>
      <c r="J246" s="15">
        <v>1200</v>
      </c>
      <c r="K246" s="16">
        <f t="shared" si="6"/>
        <v>1.3559322033898304</v>
      </c>
      <c r="L246" s="15">
        <v>1000</v>
      </c>
      <c r="M246" s="16">
        <f t="shared" si="7"/>
        <v>1.1299435028248588</v>
      </c>
      <c r="N246" t="s">
        <v>178</v>
      </c>
    </row>
    <row r="247" spans="1:14" x14ac:dyDescent="0.25">
      <c r="A247" t="s">
        <v>477</v>
      </c>
      <c r="B247" t="s">
        <v>478</v>
      </c>
      <c r="C247" t="s">
        <v>757</v>
      </c>
      <c r="D247">
        <v>1</v>
      </c>
      <c r="E247">
        <v>1</v>
      </c>
      <c r="F247">
        <v>771</v>
      </c>
      <c r="G247" s="14">
        <v>45912</v>
      </c>
      <c r="H247" s="14">
        <v>45953</v>
      </c>
      <c r="I247">
        <v>42</v>
      </c>
      <c r="J247" s="15">
        <v>1031</v>
      </c>
      <c r="K247" s="16">
        <f t="shared" si="6"/>
        <v>1.3372243839169908</v>
      </c>
      <c r="L247" s="15">
        <v>1031</v>
      </c>
      <c r="M247" s="16">
        <f t="shared" si="7"/>
        <v>1.3372243839169908</v>
      </c>
      <c r="N247" t="s">
        <v>178</v>
      </c>
    </row>
    <row r="248" spans="1:14" x14ac:dyDescent="0.25">
      <c r="A248" t="s">
        <v>465</v>
      </c>
      <c r="B248" t="s">
        <v>567</v>
      </c>
      <c r="C248" t="s">
        <v>758</v>
      </c>
      <c r="D248">
        <v>1</v>
      </c>
      <c r="E248">
        <v>1</v>
      </c>
      <c r="F248">
        <v>757</v>
      </c>
      <c r="G248" s="14">
        <v>45881</v>
      </c>
      <c r="H248" s="14">
        <v>45953</v>
      </c>
      <c r="I248">
        <v>73</v>
      </c>
      <c r="J248" s="15">
        <v>1216</v>
      </c>
      <c r="K248" s="16">
        <f t="shared" si="6"/>
        <v>1.6063408190224571</v>
      </c>
      <c r="L248" s="15">
        <v>1043</v>
      </c>
      <c r="M248" s="16">
        <f t="shared" si="7"/>
        <v>1.3778071334214002</v>
      </c>
      <c r="N248" t="s">
        <v>178</v>
      </c>
    </row>
    <row r="249" spans="1:14" x14ac:dyDescent="0.25">
      <c r="A249" t="s">
        <v>451</v>
      </c>
      <c r="B249" t="s">
        <v>533</v>
      </c>
      <c r="C249" t="s">
        <v>759</v>
      </c>
      <c r="D249">
        <v>1</v>
      </c>
      <c r="E249">
        <v>1</v>
      </c>
      <c r="F249">
        <v>600</v>
      </c>
      <c r="G249" s="14">
        <v>45931</v>
      </c>
      <c r="H249" s="14">
        <v>45954</v>
      </c>
      <c r="I249">
        <v>24</v>
      </c>
      <c r="J249" s="15">
        <v>1000</v>
      </c>
      <c r="K249" s="16">
        <f t="shared" si="6"/>
        <v>1.6666666666666667</v>
      </c>
      <c r="L249" s="15">
        <v>833</v>
      </c>
      <c r="M249" s="16">
        <f t="shared" si="7"/>
        <v>1.3883333333333334</v>
      </c>
      <c r="N249" t="s">
        <v>178</v>
      </c>
    </row>
    <row r="250" spans="1:14" x14ac:dyDescent="0.25">
      <c r="A250" t="s">
        <v>451</v>
      </c>
      <c r="B250" t="s">
        <v>452</v>
      </c>
      <c r="C250" t="s">
        <v>760</v>
      </c>
      <c r="D250">
        <v>2</v>
      </c>
      <c r="E250">
        <v>2</v>
      </c>
      <c r="F250">
        <v>903</v>
      </c>
      <c r="G250" s="14">
        <v>45895</v>
      </c>
      <c r="H250" s="14">
        <v>45954</v>
      </c>
      <c r="I250">
        <v>60</v>
      </c>
      <c r="J250" s="15">
        <v>1200</v>
      </c>
      <c r="K250" s="16">
        <f t="shared" si="6"/>
        <v>1.3289036544850499</v>
      </c>
      <c r="L250" s="15">
        <v>1000</v>
      </c>
      <c r="M250" s="16">
        <f t="shared" si="7"/>
        <v>1.1074197120708749</v>
      </c>
      <c r="N250" t="s">
        <v>178</v>
      </c>
    </row>
    <row r="251" spans="1:14" x14ac:dyDescent="0.25">
      <c r="A251" t="s">
        <v>451</v>
      </c>
      <c r="B251" t="s">
        <v>452</v>
      </c>
      <c r="C251" t="s">
        <v>761</v>
      </c>
      <c r="D251">
        <v>2</v>
      </c>
      <c r="E251">
        <v>2</v>
      </c>
      <c r="F251">
        <v>903</v>
      </c>
      <c r="G251" s="14">
        <v>45664</v>
      </c>
      <c r="H251" s="14">
        <v>45954</v>
      </c>
      <c r="I251">
        <v>291</v>
      </c>
      <c r="J251" s="15">
        <v>1200</v>
      </c>
      <c r="K251" s="16">
        <f t="shared" si="6"/>
        <v>1.3289036544850499</v>
      </c>
      <c r="L251" s="15">
        <v>1000</v>
      </c>
      <c r="M251" s="16">
        <f t="shared" si="7"/>
        <v>1.1074197120708749</v>
      </c>
      <c r="N251" t="s">
        <v>178</v>
      </c>
    </row>
    <row r="252" spans="1:14" x14ac:dyDescent="0.25">
      <c r="A252" t="s">
        <v>472</v>
      </c>
      <c r="B252" t="s">
        <v>473</v>
      </c>
      <c r="C252" t="s">
        <v>762</v>
      </c>
      <c r="D252">
        <v>2</v>
      </c>
      <c r="E252">
        <v>1</v>
      </c>
      <c r="F252">
        <v>800</v>
      </c>
      <c r="G252" s="14">
        <v>45909</v>
      </c>
      <c r="H252" s="14">
        <v>45954</v>
      </c>
      <c r="I252">
        <v>46</v>
      </c>
      <c r="J252" s="15">
        <v>1448</v>
      </c>
      <c r="K252" s="16">
        <f t="shared" si="6"/>
        <v>1.81</v>
      </c>
      <c r="L252" s="15">
        <v>1225</v>
      </c>
      <c r="M252" s="16">
        <f t="shared" si="7"/>
        <v>1.53125</v>
      </c>
      <c r="N252" t="s">
        <v>178</v>
      </c>
    </row>
    <row r="253" spans="1:14" x14ac:dyDescent="0.25">
      <c r="A253" t="s">
        <v>465</v>
      </c>
      <c r="B253" t="s">
        <v>502</v>
      </c>
      <c r="C253" t="s">
        <v>763</v>
      </c>
      <c r="D253">
        <v>2</v>
      </c>
      <c r="E253">
        <v>2</v>
      </c>
      <c r="F253">
        <v>1011</v>
      </c>
      <c r="G253" s="14">
        <v>45926</v>
      </c>
      <c r="H253" s="14">
        <v>45954</v>
      </c>
      <c r="I253">
        <v>29</v>
      </c>
      <c r="J253" s="15">
        <v>1391</v>
      </c>
      <c r="K253" s="16">
        <f t="shared" si="6"/>
        <v>1.3758654797230465</v>
      </c>
      <c r="L253" s="15">
        <v>1177</v>
      </c>
      <c r="M253" s="16">
        <f t="shared" si="7"/>
        <v>1.1641938674579624</v>
      </c>
      <c r="N253" t="s">
        <v>178</v>
      </c>
    </row>
    <row r="254" spans="1:14" x14ac:dyDescent="0.25">
      <c r="A254" t="s">
        <v>451</v>
      </c>
      <c r="B254" t="s">
        <v>460</v>
      </c>
      <c r="C254" t="s">
        <v>764</v>
      </c>
      <c r="D254">
        <v>1</v>
      </c>
      <c r="E254">
        <v>1</v>
      </c>
      <c r="F254">
        <v>726</v>
      </c>
      <c r="G254" s="14">
        <v>45593</v>
      </c>
      <c r="H254" s="14">
        <v>45956</v>
      </c>
      <c r="I254">
        <v>364</v>
      </c>
      <c r="J254" s="15">
        <v>1000</v>
      </c>
      <c r="K254" s="16">
        <f t="shared" si="6"/>
        <v>1.3774104683195592</v>
      </c>
      <c r="L254" s="15">
        <v>833</v>
      </c>
      <c r="M254" s="16">
        <f t="shared" si="7"/>
        <v>1.1473829201101928</v>
      </c>
      <c r="N254" t="s">
        <v>178</v>
      </c>
    </row>
    <row r="255" spans="1:14" x14ac:dyDescent="0.25">
      <c r="A255" t="s">
        <v>465</v>
      </c>
      <c r="B255" t="s">
        <v>551</v>
      </c>
      <c r="C255" t="s">
        <v>765</v>
      </c>
      <c r="D255">
        <v>1</v>
      </c>
      <c r="E255">
        <v>1</v>
      </c>
      <c r="F255">
        <v>757</v>
      </c>
      <c r="G255" s="14">
        <v>45945</v>
      </c>
      <c r="H255" s="14">
        <v>45956</v>
      </c>
      <c r="I255">
        <v>12</v>
      </c>
      <c r="J255" s="15">
        <v>1316</v>
      </c>
      <c r="K255" s="16">
        <f t="shared" si="6"/>
        <v>1.7384412153236459</v>
      </c>
      <c r="L255" s="15">
        <v>1129</v>
      </c>
      <c r="M255" s="16">
        <f t="shared" si="7"/>
        <v>1.4914134742404228</v>
      </c>
      <c r="N255" t="s">
        <v>178</v>
      </c>
    </row>
    <row r="256" spans="1:14" x14ac:dyDescent="0.25">
      <c r="A256" t="s">
        <v>451</v>
      </c>
      <c r="B256" t="s">
        <v>533</v>
      </c>
      <c r="C256" t="s">
        <v>766</v>
      </c>
      <c r="D256">
        <v>1</v>
      </c>
      <c r="E256">
        <v>1</v>
      </c>
      <c r="F256">
        <v>600</v>
      </c>
      <c r="G256" s="14">
        <v>45592</v>
      </c>
      <c r="H256" s="14">
        <v>45957</v>
      </c>
      <c r="I256">
        <v>366</v>
      </c>
      <c r="J256" s="15">
        <v>1000</v>
      </c>
      <c r="K256" s="16">
        <f t="shared" si="6"/>
        <v>1.6666666666666667</v>
      </c>
      <c r="L256" s="15">
        <v>833</v>
      </c>
      <c r="M256" s="16">
        <f t="shared" si="7"/>
        <v>1.3883333333333334</v>
      </c>
      <c r="N256" t="s">
        <v>178</v>
      </c>
    </row>
    <row r="257" spans="1:14" x14ac:dyDescent="0.25">
      <c r="A257" t="s">
        <v>462</v>
      </c>
      <c r="B257" t="s">
        <v>530</v>
      </c>
      <c r="C257" t="s">
        <v>767</v>
      </c>
      <c r="D257">
        <v>1</v>
      </c>
      <c r="E257">
        <v>1</v>
      </c>
      <c r="F257">
        <v>602</v>
      </c>
      <c r="G257" s="14">
        <v>45930</v>
      </c>
      <c r="H257" s="14">
        <v>45957</v>
      </c>
      <c r="I257">
        <v>28</v>
      </c>
      <c r="J257" s="15">
        <v>1325</v>
      </c>
      <c r="K257" s="16">
        <f t="shared" si="6"/>
        <v>2.2009966777408638</v>
      </c>
      <c r="L257" s="15">
        <v>994</v>
      </c>
      <c r="M257" s="16">
        <f t="shared" si="7"/>
        <v>1.6511627906976745</v>
      </c>
      <c r="N257" t="s">
        <v>178</v>
      </c>
    </row>
    <row r="258" spans="1:14" x14ac:dyDescent="0.25">
      <c r="A258" t="s">
        <v>462</v>
      </c>
      <c r="B258" t="s">
        <v>463</v>
      </c>
      <c r="C258" t="s">
        <v>768</v>
      </c>
      <c r="D258">
        <v>2</v>
      </c>
      <c r="E258">
        <v>2</v>
      </c>
      <c r="F258">
        <v>958</v>
      </c>
      <c r="G258" s="14">
        <v>45934</v>
      </c>
      <c r="H258" s="14">
        <v>45957</v>
      </c>
      <c r="I258">
        <v>24</v>
      </c>
      <c r="J258" s="15">
        <v>1650</v>
      </c>
      <c r="K258" s="16">
        <f t="shared" ref="K258:K321" si="8">IFERROR(J258/F258,0)</f>
        <v>1.7223382045929019</v>
      </c>
      <c r="L258" s="15">
        <v>1238</v>
      </c>
      <c r="M258" s="16">
        <f t="shared" ref="M258:M321" si="9">IFERROR(L258/F258,0)</f>
        <v>1.292275574112735</v>
      </c>
      <c r="N258" t="s">
        <v>178</v>
      </c>
    </row>
    <row r="259" spans="1:14" x14ac:dyDescent="0.25">
      <c r="A259" t="s">
        <v>462</v>
      </c>
      <c r="B259" t="s">
        <v>507</v>
      </c>
      <c r="C259" t="s">
        <v>769</v>
      </c>
      <c r="D259">
        <v>3</v>
      </c>
      <c r="E259">
        <v>2</v>
      </c>
      <c r="F259">
        <v>1345</v>
      </c>
      <c r="G259" s="14">
        <v>45858</v>
      </c>
      <c r="H259" s="14">
        <v>45957</v>
      </c>
      <c r="I259">
        <v>100</v>
      </c>
      <c r="J259" s="15">
        <v>2050</v>
      </c>
      <c r="K259" s="16">
        <f t="shared" si="8"/>
        <v>1.5241635687732342</v>
      </c>
      <c r="L259" s="15">
        <v>1538</v>
      </c>
      <c r="M259" s="16">
        <f t="shared" si="9"/>
        <v>1.1434944237918216</v>
      </c>
      <c r="N259" t="s">
        <v>178</v>
      </c>
    </row>
    <row r="260" spans="1:14" x14ac:dyDescent="0.25">
      <c r="A260" t="s">
        <v>472</v>
      </c>
      <c r="B260" t="s">
        <v>496</v>
      </c>
      <c r="C260" t="s">
        <v>770</v>
      </c>
      <c r="D260">
        <v>1</v>
      </c>
      <c r="E260">
        <v>1</v>
      </c>
      <c r="F260">
        <v>625</v>
      </c>
      <c r="G260" s="14">
        <v>45856</v>
      </c>
      <c r="H260" s="14">
        <v>45957</v>
      </c>
      <c r="I260">
        <v>102</v>
      </c>
      <c r="J260" s="15">
        <v>1198</v>
      </c>
      <c r="K260" s="16">
        <f t="shared" si="8"/>
        <v>1.9168000000000001</v>
      </c>
      <c r="L260" s="15">
        <v>1038</v>
      </c>
      <c r="M260" s="16">
        <f t="shared" si="9"/>
        <v>1.6608000000000001</v>
      </c>
      <c r="N260" t="s">
        <v>178</v>
      </c>
    </row>
    <row r="261" spans="1:14" x14ac:dyDescent="0.25">
      <c r="A261" t="s">
        <v>486</v>
      </c>
      <c r="B261" t="s">
        <v>513</v>
      </c>
      <c r="C261" t="s">
        <v>771</v>
      </c>
      <c r="D261">
        <v>2</v>
      </c>
      <c r="E261">
        <v>2</v>
      </c>
      <c r="F261">
        <v>1000</v>
      </c>
      <c r="G261" s="14">
        <v>45950</v>
      </c>
      <c r="H261" s="14">
        <v>45957</v>
      </c>
      <c r="I261">
        <v>8</v>
      </c>
      <c r="J261" s="15">
        <v>1266</v>
      </c>
      <c r="K261" s="16">
        <f t="shared" si="8"/>
        <v>1.266</v>
      </c>
      <c r="L261" s="15">
        <v>1071</v>
      </c>
      <c r="M261" s="16">
        <f t="shared" si="9"/>
        <v>1.071</v>
      </c>
      <c r="N261" t="s">
        <v>178</v>
      </c>
    </row>
    <row r="262" spans="1:14" x14ac:dyDescent="0.25">
      <c r="A262" t="s">
        <v>462</v>
      </c>
      <c r="B262" t="s">
        <v>470</v>
      </c>
      <c r="C262" t="s">
        <v>772</v>
      </c>
      <c r="D262">
        <v>1</v>
      </c>
      <c r="E262">
        <v>1</v>
      </c>
      <c r="F262">
        <v>732</v>
      </c>
      <c r="G262" s="14">
        <v>45934</v>
      </c>
      <c r="H262" s="14">
        <v>45958</v>
      </c>
      <c r="I262">
        <v>25</v>
      </c>
      <c r="J262" s="15">
        <v>1325</v>
      </c>
      <c r="K262" s="16">
        <f t="shared" si="8"/>
        <v>1.8101092896174864</v>
      </c>
      <c r="L262" s="15">
        <v>994</v>
      </c>
      <c r="M262" s="16">
        <f t="shared" si="9"/>
        <v>1.3579234972677596</v>
      </c>
      <c r="N262" t="s">
        <v>178</v>
      </c>
    </row>
    <row r="263" spans="1:14" x14ac:dyDescent="0.25">
      <c r="A263" t="s">
        <v>462</v>
      </c>
      <c r="B263" t="s">
        <v>463</v>
      </c>
      <c r="C263" t="s">
        <v>773</v>
      </c>
      <c r="D263">
        <v>2</v>
      </c>
      <c r="E263">
        <v>2</v>
      </c>
      <c r="F263">
        <v>958</v>
      </c>
      <c r="G263" s="14">
        <v>45934</v>
      </c>
      <c r="H263" s="14">
        <v>45958</v>
      </c>
      <c r="I263">
        <v>25</v>
      </c>
      <c r="J263" s="15">
        <v>1550</v>
      </c>
      <c r="K263" s="16">
        <f t="shared" si="8"/>
        <v>1.6179540709812108</v>
      </c>
      <c r="L263" s="15">
        <v>1162</v>
      </c>
      <c r="M263" s="16">
        <f t="shared" si="9"/>
        <v>1.2129436325678498</v>
      </c>
      <c r="N263" t="s">
        <v>178</v>
      </c>
    </row>
    <row r="264" spans="1:14" x14ac:dyDescent="0.25">
      <c r="A264" t="s">
        <v>462</v>
      </c>
      <c r="B264" t="s">
        <v>475</v>
      </c>
      <c r="C264" t="s">
        <v>774</v>
      </c>
      <c r="D264">
        <v>2</v>
      </c>
      <c r="E264">
        <v>2</v>
      </c>
      <c r="F264">
        <v>1029</v>
      </c>
      <c r="G264" s="14">
        <v>45875</v>
      </c>
      <c r="H264" s="14">
        <v>45958</v>
      </c>
      <c r="I264">
        <v>84</v>
      </c>
      <c r="J264" s="15">
        <v>1600</v>
      </c>
      <c r="K264" s="16">
        <f t="shared" si="8"/>
        <v>1.554907677356657</v>
      </c>
      <c r="L264" s="15">
        <v>1200</v>
      </c>
      <c r="M264" s="16">
        <f t="shared" si="9"/>
        <v>1.1661807580174928</v>
      </c>
      <c r="N264" t="s">
        <v>178</v>
      </c>
    </row>
    <row r="265" spans="1:14" x14ac:dyDescent="0.25">
      <c r="A265" t="s">
        <v>454</v>
      </c>
      <c r="B265" t="s">
        <v>494</v>
      </c>
      <c r="C265" t="s">
        <v>775</v>
      </c>
      <c r="D265">
        <v>2</v>
      </c>
      <c r="E265">
        <v>2</v>
      </c>
      <c r="F265">
        <v>1001</v>
      </c>
      <c r="G265" s="14">
        <v>45903</v>
      </c>
      <c r="H265" s="14">
        <v>45958</v>
      </c>
      <c r="I265">
        <v>56</v>
      </c>
      <c r="J265" s="15">
        <v>1550</v>
      </c>
      <c r="K265" s="16">
        <f t="shared" si="8"/>
        <v>1.5484515484515484</v>
      </c>
      <c r="L265" s="15">
        <v>1550</v>
      </c>
      <c r="M265" s="16">
        <f t="shared" si="9"/>
        <v>1.5484515484515484</v>
      </c>
      <c r="N265" t="s">
        <v>178</v>
      </c>
    </row>
    <row r="266" spans="1:14" x14ac:dyDescent="0.25">
      <c r="A266" t="s">
        <v>454</v>
      </c>
      <c r="B266" t="s">
        <v>776</v>
      </c>
      <c r="C266" t="s">
        <v>777</v>
      </c>
      <c r="D266">
        <v>3</v>
      </c>
      <c r="E266">
        <v>2</v>
      </c>
      <c r="F266">
        <v>1103</v>
      </c>
      <c r="G266" s="14">
        <v>45897</v>
      </c>
      <c r="H266" s="14">
        <v>45958</v>
      </c>
      <c r="I266">
        <v>62</v>
      </c>
      <c r="J266" s="15">
        <v>1665</v>
      </c>
      <c r="K266" s="16">
        <f t="shared" si="8"/>
        <v>1.5095194922937443</v>
      </c>
      <c r="L266" s="15">
        <v>1665</v>
      </c>
      <c r="M266" s="16">
        <f t="shared" si="9"/>
        <v>1.5095194922937443</v>
      </c>
      <c r="N266" t="s">
        <v>178</v>
      </c>
    </row>
    <row r="267" spans="1:14" x14ac:dyDescent="0.25">
      <c r="A267" t="s">
        <v>457</v>
      </c>
      <c r="B267" t="s">
        <v>778</v>
      </c>
      <c r="C267" t="s">
        <v>779</v>
      </c>
      <c r="D267">
        <v>1</v>
      </c>
      <c r="E267">
        <v>1</v>
      </c>
      <c r="F267">
        <v>762</v>
      </c>
      <c r="G267" s="14">
        <v>45824</v>
      </c>
      <c r="H267" s="14">
        <v>45958</v>
      </c>
      <c r="I267">
        <v>135</v>
      </c>
      <c r="J267" s="15">
        <v>1234</v>
      </c>
      <c r="K267" s="16">
        <f t="shared" si="8"/>
        <v>1.6194225721784776</v>
      </c>
      <c r="L267" s="15">
        <v>1044</v>
      </c>
      <c r="M267" s="16">
        <f t="shared" si="9"/>
        <v>1.3700787401574803</v>
      </c>
      <c r="N267" t="s">
        <v>178</v>
      </c>
    </row>
    <row r="268" spans="1:14" x14ac:dyDescent="0.25">
      <c r="A268" t="s">
        <v>465</v>
      </c>
      <c r="B268" t="s">
        <v>502</v>
      </c>
      <c r="C268" t="s">
        <v>780</v>
      </c>
      <c r="D268">
        <v>2</v>
      </c>
      <c r="E268">
        <v>2</v>
      </c>
      <c r="F268">
        <v>1011</v>
      </c>
      <c r="G268" s="14">
        <v>45912</v>
      </c>
      <c r="H268" s="14">
        <v>45958</v>
      </c>
      <c r="I268">
        <v>47</v>
      </c>
      <c r="J268" s="15">
        <v>1391</v>
      </c>
      <c r="K268" s="16">
        <f t="shared" si="8"/>
        <v>1.3758654797230465</v>
      </c>
      <c r="L268" s="15">
        <v>1207</v>
      </c>
      <c r="M268" s="16">
        <f t="shared" si="9"/>
        <v>1.1938674579624136</v>
      </c>
      <c r="N268" t="s">
        <v>178</v>
      </c>
    </row>
    <row r="269" spans="1:14" x14ac:dyDescent="0.25">
      <c r="A269" t="s">
        <v>465</v>
      </c>
      <c r="B269" t="s">
        <v>781</v>
      </c>
      <c r="C269" t="s">
        <v>782</v>
      </c>
      <c r="D269">
        <v>3</v>
      </c>
      <c r="E269">
        <v>2</v>
      </c>
      <c r="F269">
        <v>1181</v>
      </c>
      <c r="G269" s="14">
        <v>45902</v>
      </c>
      <c r="H269" s="14">
        <v>45958</v>
      </c>
      <c r="I269">
        <v>57</v>
      </c>
      <c r="J269" s="15">
        <v>1706</v>
      </c>
      <c r="K269" s="16">
        <f t="shared" si="8"/>
        <v>1.4445385266723116</v>
      </c>
      <c r="L269" s="15">
        <v>1481</v>
      </c>
      <c r="M269" s="16">
        <f t="shared" si="9"/>
        <v>1.2540220152413208</v>
      </c>
      <c r="N269" t="s">
        <v>178</v>
      </c>
    </row>
    <row r="270" spans="1:14" x14ac:dyDescent="0.25">
      <c r="A270" t="s">
        <v>477</v>
      </c>
      <c r="B270" t="s">
        <v>587</v>
      </c>
      <c r="C270" t="s">
        <v>783</v>
      </c>
      <c r="D270">
        <v>3</v>
      </c>
      <c r="E270">
        <v>2</v>
      </c>
      <c r="F270">
        <v>1244</v>
      </c>
      <c r="G270" s="14">
        <v>45903</v>
      </c>
      <c r="H270" s="14">
        <v>45959</v>
      </c>
      <c r="I270">
        <v>57</v>
      </c>
      <c r="J270" s="15">
        <v>1396</v>
      </c>
      <c r="K270" s="16">
        <f t="shared" si="8"/>
        <v>1.1221864951768488</v>
      </c>
      <c r="L270" s="15">
        <v>1396</v>
      </c>
      <c r="M270" s="16">
        <f t="shared" si="9"/>
        <v>1.1221864951768488</v>
      </c>
      <c r="N270" t="s">
        <v>178</v>
      </c>
    </row>
    <row r="271" spans="1:14" x14ac:dyDescent="0.25">
      <c r="A271" t="s">
        <v>486</v>
      </c>
      <c r="B271" t="s">
        <v>615</v>
      </c>
      <c r="C271" t="s">
        <v>784</v>
      </c>
      <c r="D271">
        <v>2</v>
      </c>
      <c r="E271">
        <v>2</v>
      </c>
      <c r="F271">
        <v>1000</v>
      </c>
      <c r="G271" s="14">
        <v>45882</v>
      </c>
      <c r="H271" s="14">
        <v>45959</v>
      </c>
      <c r="I271">
        <v>78</v>
      </c>
      <c r="J271" s="15">
        <v>1376</v>
      </c>
      <c r="K271" s="16">
        <f t="shared" si="8"/>
        <v>1.3759999999999999</v>
      </c>
      <c r="L271" s="15">
        <v>1164</v>
      </c>
      <c r="M271" s="16">
        <f t="shared" si="9"/>
        <v>1.1639999999999999</v>
      </c>
      <c r="N271" t="s">
        <v>178</v>
      </c>
    </row>
    <row r="272" spans="1:14" x14ac:dyDescent="0.25">
      <c r="A272" t="s">
        <v>451</v>
      </c>
      <c r="B272" t="s">
        <v>460</v>
      </c>
      <c r="C272" t="s">
        <v>785</v>
      </c>
      <c r="D272">
        <v>1</v>
      </c>
      <c r="E272">
        <v>1</v>
      </c>
      <c r="F272">
        <v>726</v>
      </c>
      <c r="G272" s="14">
        <v>45742</v>
      </c>
      <c r="H272" s="14">
        <v>45960</v>
      </c>
      <c r="I272">
        <v>219</v>
      </c>
      <c r="J272" s="15">
        <v>1000</v>
      </c>
      <c r="K272" s="16">
        <f t="shared" si="8"/>
        <v>1.3774104683195592</v>
      </c>
      <c r="L272" s="15">
        <v>833</v>
      </c>
      <c r="M272" s="16">
        <f t="shared" si="9"/>
        <v>1.1473829201101928</v>
      </c>
      <c r="N272" t="s">
        <v>178</v>
      </c>
    </row>
    <row r="273" spans="1:14" x14ac:dyDescent="0.25">
      <c r="A273" t="s">
        <v>462</v>
      </c>
      <c r="B273" t="s">
        <v>530</v>
      </c>
      <c r="C273" t="s">
        <v>786</v>
      </c>
      <c r="D273">
        <v>1</v>
      </c>
      <c r="E273">
        <v>1</v>
      </c>
      <c r="F273">
        <v>602</v>
      </c>
      <c r="G273" s="14">
        <v>45858</v>
      </c>
      <c r="H273" s="14">
        <v>45960</v>
      </c>
      <c r="I273">
        <v>103</v>
      </c>
      <c r="J273" s="15">
        <v>1450</v>
      </c>
      <c r="K273" s="16">
        <f t="shared" si="8"/>
        <v>2.4086378737541527</v>
      </c>
      <c r="L273" s="15">
        <v>1088</v>
      </c>
      <c r="M273" s="16">
        <f t="shared" si="9"/>
        <v>1.8073089700996678</v>
      </c>
      <c r="N273" t="s">
        <v>178</v>
      </c>
    </row>
    <row r="274" spans="1:14" x14ac:dyDescent="0.25">
      <c r="A274" t="s">
        <v>465</v>
      </c>
      <c r="B274" t="s">
        <v>567</v>
      </c>
      <c r="C274" t="s">
        <v>787</v>
      </c>
      <c r="D274">
        <v>1</v>
      </c>
      <c r="E274">
        <v>1</v>
      </c>
      <c r="F274">
        <v>757</v>
      </c>
      <c r="G274" s="14">
        <v>45954</v>
      </c>
      <c r="H274" s="14">
        <v>45960</v>
      </c>
      <c r="I274">
        <v>7</v>
      </c>
      <c r="J274" s="15">
        <v>1216</v>
      </c>
      <c r="K274" s="16">
        <f t="shared" si="8"/>
        <v>1.6063408190224571</v>
      </c>
      <c r="L274" s="15">
        <v>1056</v>
      </c>
      <c r="M274" s="16">
        <f t="shared" si="9"/>
        <v>1.3949801849405548</v>
      </c>
      <c r="N274" t="s">
        <v>178</v>
      </c>
    </row>
    <row r="275" spans="1:14" x14ac:dyDescent="0.25">
      <c r="A275" t="s">
        <v>451</v>
      </c>
      <c r="B275" t="s">
        <v>533</v>
      </c>
      <c r="C275" t="s">
        <v>788</v>
      </c>
      <c r="D275">
        <v>1</v>
      </c>
      <c r="E275">
        <v>1</v>
      </c>
      <c r="F275">
        <v>600</v>
      </c>
      <c r="G275" s="14">
        <v>45858</v>
      </c>
      <c r="H275" s="14">
        <v>45961</v>
      </c>
      <c r="I275">
        <v>104</v>
      </c>
      <c r="J275" s="15">
        <v>1000</v>
      </c>
      <c r="K275" s="16">
        <f t="shared" si="8"/>
        <v>1.6666666666666667</v>
      </c>
      <c r="L275" s="15">
        <v>833</v>
      </c>
      <c r="M275" s="16">
        <f t="shared" si="9"/>
        <v>1.3883333333333334</v>
      </c>
      <c r="N275" t="s">
        <v>178</v>
      </c>
    </row>
    <row r="276" spans="1:14" x14ac:dyDescent="0.25">
      <c r="A276" t="s">
        <v>462</v>
      </c>
      <c r="B276" t="s">
        <v>470</v>
      </c>
      <c r="C276" t="s">
        <v>789</v>
      </c>
      <c r="D276">
        <v>1</v>
      </c>
      <c r="E276">
        <v>1</v>
      </c>
      <c r="F276">
        <v>732</v>
      </c>
      <c r="G276" s="14">
        <v>45875</v>
      </c>
      <c r="H276" s="14">
        <v>45962</v>
      </c>
      <c r="I276">
        <v>88</v>
      </c>
      <c r="J276" s="15">
        <v>1325</v>
      </c>
      <c r="K276" s="16">
        <f t="shared" si="8"/>
        <v>1.8101092896174864</v>
      </c>
      <c r="L276" s="15">
        <v>994</v>
      </c>
      <c r="M276" s="16">
        <f t="shared" si="9"/>
        <v>1.3579234972677596</v>
      </c>
      <c r="N276" t="s">
        <v>202</v>
      </c>
    </row>
    <row r="277" spans="1:14" x14ac:dyDescent="0.25">
      <c r="A277" t="s">
        <v>451</v>
      </c>
      <c r="B277" t="s">
        <v>460</v>
      </c>
      <c r="C277" t="s">
        <v>790</v>
      </c>
      <c r="D277">
        <v>1</v>
      </c>
      <c r="E277">
        <v>1</v>
      </c>
      <c r="F277">
        <v>726</v>
      </c>
      <c r="G277" s="14">
        <v>45705</v>
      </c>
      <c r="H277" s="14">
        <v>45963</v>
      </c>
      <c r="I277">
        <v>259</v>
      </c>
      <c r="J277" s="15">
        <v>1000</v>
      </c>
      <c r="K277" s="16">
        <f t="shared" si="8"/>
        <v>1.3774104683195592</v>
      </c>
      <c r="L277" s="15">
        <v>833</v>
      </c>
      <c r="M277" s="16">
        <f t="shared" si="9"/>
        <v>1.1473829201101928</v>
      </c>
      <c r="N277" t="s">
        <v>202</v>
      </c>
    </row>
    <row r="278" spans="1:14" x14ac:dyDescent="0.25">
      <c r="A278" t="s">
        <v>451</v>
      </c>
      <c r="B278" t="s">
        <v>557</v>
      </c>
      <c r="C278" t="s">
        <v>791</v>
      </c>
      <c r="D278">
        <v>2</v>
      </c>
      <c r="E278">
        <v>2</v>
      </c>
      <c r="F278">
        <v>885</v>
      </c>
      <c r="G278" s="14">
        <v>45819</v>
      </c>
      <c r="H278" s="14">
        <v>45963</v>
      </c>
      <c r="I278">
        <v>145</v>
      </c>
      <c r="J278" s="15">
        <v>1200</v>
      </c>
      <c r="K278" s="16">
        <f t="shared" si="8"/>
        <v>1.3559322033898304</v>
      </c>
      <c r="L278" s="15">
        <v>1000</v>
      </c>
      <c r="M278" s="16">
        <f t="shared" si="9"/>
        <v>1.1299435028248588</v>
      </c>
      <c r="N278" t="s">
        <v>202</v>
      </c>
    </row>
    <row r="279" spans="1:14" x14ac:dyDescent="0.25">
      <c r="A279" t="s">
        <v>465</v>
      </c>
      <c r="B279" t="s">
        <v>567</v>
      </c>
      <c r="C279" t="s">
        <v>792</v>
      </c>
      <c r="D279">
        <v>1</v>
      </c>
      <c r="E279">
        <v>1</v>
      </c>
      <c r="F279">
        <v>757</v>
      </c>
      <c r="G279" s="14">
        <v>45953</v>
      </c>
      <c r="H279" s="14">
        <v>45963</v>
      </c>
      <c r="I279">
        <v>11</v>
      </c>
      <c r="J279" s="15">
        <v>1216</v>
      </c>
      <c r="K279" s="16">
        <f t="shared" si="8"/>
        <v>1.6063408190224571</v>
      </c>
      <c r="L279" s="15">
        <v>1066</v>
      </c>
      <c r="M279" s="16">
        <f t="shared" si="9"/>
        <v>1.4081902245706737</v>
      </c>
      <c r="N279" t="s">
        <v>202</v>
      </c>
    </row>
    <row r="280" spans="1:14" x14ac:dyDescent="0.25">
      <c r="A280" t="s">
        <v>483</v>
      </c>
      <c r="B280" t="s">
        <v>484</v>
      </c>
      <c r="C280" t="s">
        <v>793</v>
      </c>
      <c r="D280">
        <v>2</v>
      </c>
      <c r="E280">
        <v>2</v>
      </c>
      <c r="F280">
        <v>991</v>
      </c>
      <c r="G280" s="14">
        <v>45817</v>
      </c>
      <c r="H280" s="14">
        <v>45963</v>
      </c>
      <c r="I280">
        <v>147</v>
      </c>
      <c r="J280" s="15">
        <v>1290</v>
      </c>
      <c r="K280" s="16">
        <f t="shared" si="8"/>
        <v>1.301715438950555</v>
      </c>
      <c r="L280" s="15">
        <v>1290</v>
      </c>
      <c r="M280" s="16">
        <f t="shared" si="9"/>
        <v>1.301715438950555</v>
      </c>
      <c r="N280" t="s">
        <v>202</v>
      </c>
    </row>
    <row r="281" spans="1:14" x14ac:dyDescent="0.25">
      <c r="A281" t="s">
        <v>457</v>
      </c>
      <c r="B281" t="s">
        <v>458</v>
      </c>
      <c r="C281" t="s">
        <v>794</v>
      </c>
      <c r="D281">
        <v>1</v>
      </c>
      <c r="E281">
        <v>1</v>
      </c>
      <c r="F281">
        <v>762</v>
      </c>
      <c r="G281" s="14">
        <v>45790</v>
      </c>
      <c r="H281" s="14">
        <v>45964</v>
      </c>
      <c r="I281">
        <v>175</v>
      </c>
      <c r="J281" s="15">
        <v>1299</v>
      </c>
      <c r="K281" s="16">
        <f t="shared" si="8"/>
        <v>1.704724409448819</v>
      </c>
      <c r="L281" s="15">
        <v>1099</v>
      </c>
      <c r="M281" s="16">
        <f t="shared" si="9"/>
        <v>1.4422572178477691</v>
      </c>
      <c r="N281" t="s">
        <v>202</v>
      </c>
    </row>
    <row r="282" spans="1:14" x14ac:dyDescent="0.25">
      <c r="A282" t="s">
        <v>451</v>
      </c>
      <c r="B282" t="s">
        <v>452</v>
      </c>
      <c r="C282" t="s">
        <v>795</v>
      </c>
      <c r="D282">
        <v>2</v>
      </c>
      <c r="E282">
        <v>2</v>
      </c>
      <c r="F282">
        <v>903</v>
      </c>
      <c r="G282" s="14">
        <v>45920</v>
      </c>
      <c r="H282" s="14">
        <v>45965</v>
      </c>
      <c r="I282">
        <v>46</v>
      </c>
      <c r="J282" s="15">
        <v>1200</v>
      </c>
      <c r="K282" s="16">
        <f t="shared" si="8"/>
        <v>1.3289036544850499</v>
      </c>
      <c r="L282" s="15">
        <v>1015</v>
      </c>
      <c r="M282" s="16">
        <f t="shared" si="9"/>
        <v>1.124031007751938</v>
      </c>
      <c r="N282" t="s">
        <v>202</v>
      </c>
    </row>
    <row r="283" spans="1:14" x14ac:dyDescent="0.25">
      <c r="A283" t="s">
        <v>457</v>
      </c>
      <c r="B283" t="s">
        <v>633</v>
      </c>
      <c r="C283" t="s">
        <v>796</v>
      </c>
      <c r="D283">
        <v>1</v>
      </c>
      <c r="E283">
        <v>1</v>
      </c>
      <c r="F283">
        <v>541</v>
      </c>
      <c r="G283" s="14">
        <v>45876</v>
      </c>
      <c r="H283" s="14">
        <v>45965</v>
      </c>
      <c r="I283">
        <v>90</v>
      </c>
      <c r="J283" s="15">
        <v>1084</v>
      </c>
      <c r="K283" s="16">
        <f t="shared" si="8"/>
        <v>2.0036968576709797</v>
      </c>
      <c r="L283" s="15">
        <v>917</v>
      </c>
      <c r="M283" s="16">
        <f t="shared" si="9"/>
        <v>1.6950092421441774</v>
      </c>
      <c r="N283" t="s">
        <v>202</v>
      </c>
    </row>
    <row r="284" spans="1:14" x14ac:dyDescent="0.25">
      <c r="A284" t="s">
        <v>451</v>
      </c>
      <c r="B284" t="s">
        <v>460</v>
      </c>
      <c r="C284" t="s">
        <v>797</v>
      </c>
      <c r="D284">
        <v>1</v>
      </c>
      <c r="E284">
        <v>1</v>
      </c>
      <c r="F284">
        <v>726</v>
      </c>
      <c r="G284" s="14">
        <v>45771</v>
      </c>
      <c r="H284" s="14">
        <v>45966</v>
      </c>
      <c r="I284">
        <v>196</v>
      </c>
      <c r="J284" s="15">
        <v>1000</v>
      </c>
      <c r="K284" s="16">
        <f t="shared" si="8"/>
        <v>1.3774104683195592</v>
      </c>
      <c r="L284" s="15">
        <v>833</v>
      </c>
      <c r="M284" s="16">
        <f t="shared" si="9"/>
        <v>1.1473829201101928</v>
      </c>
      <c r="N284" t="s">
        <v>202</v>
      </c>
    </row>
    <row r="285" spans="1:14" x14ac:dyDescent="0.25">
      <c r="A285" t="s">
        <v>451</v>
      </c>
      <c r="B285" t="s">
        <v>460</v>
      </c>
      <c r="C285" t="s">
        <v>798</v>
      </c>
      <c r="D285">
        <v>1</v>
      </c>
      <c r="E285">
        <v>1</v>
      </c>
      <c r="F285">
        <v>726</v>
      </c>
      <c r="G285" s="14">
        <v>45769</v>
      </c>
      <c r="H285" s="14">
        <v>45966</v>
      </c>
      <c r="I285">
        <v>198</v>
      </c>
      <c r="J285" s="15">
        <v>1000</v>
      </c>
      <c r="K285" s="16">
        <f t="shared" si="8"/>
        <v>1.3774104683195592</v>
      </c>
      <c r="L285" s="15">
        <v>833</v>
      </c>
      <c r="M285" s="16">
        <f t="shared" si="9"/>
        <v>1.1473829201101928</v>
      </c>
      <c r="N285" t="s">
        <v>202</v>
      </c>
    </row>
    <row r="286" spans="1:14" x14ac:dyDescent="0.25">
      <c r="A286" t="s">
        <v>462</v>
      </c>
      <c r="B286" t="s">
        <v>470</v>
      </c>
      <c r="C286" t="s">
        <v>799</v>
      </c>
      <c r="D286">
        <v>1</v>
      </c>
      <c r="E286">
        <v>1</v>
      </c>
      <c r="F286">
        <v>732</v>
      </c>
      <c r="G286" s="14">
        <v>45958</v>
      </c>
      <c r="H286" s="14">
        <v>45966</v>
      </c>
      <c r="I286">
        <v>9</v>
      </c>
      <c r="J286" s="15">
        <v>1500</v>
      </c>
      <c r="K286" s="16">
        <f t="shared" si="8"/>
        <v>2.0491803278688523</v>
      </c>
      <c r="L286" s="15">
        <v>1125</v>
      </c>
      <c r="M286" s="16">
        <f t="shared" si="9"/>
        <v>1.5368852459016393</v>
      </c>
      <c r="N286" t="s">
        <v>202</v>
      </c>
    </row>
    <row r="287" spans="1:14" x14ac:dyDescent="0.25">
      <c r="A287" t="s">
        <v>462</v>
      </c>
      <c r="B287" t="s">
        <v>463</v>
      </c>
      <c r="C287" t="s">
        <v>800</v>
      </c>
      <c r="D287">
        <v>2</v>
      </c>
      <c r="E287">
        <v>2</v>
      </c>
      <c r="F287">
        <v>958</v>
      </c>
      <c r="G287" s="14">
        <v>45958</v>
      </c>
      <c r="H287" s="14">
        <v>45966</v>
      </c>
      <c r="I287">
        <v>9</v>
      </c>
      <c r="J287" s="15">
        <v>1650</v>
      </c>
      <c r="K287" s="16">
        <f t="shared" si="8"/>
        <v>1.7223382045929019</v>
      </c>
      <c r="L287" s="15">
        <v>1238</v>
      </c>
      <c r="M287" s="16">
        <f t="shared" si="9"/>
        <v>1.292275574112735</v>
      </c>
      <c r="N287" t="s">
        <v>202</v>
      </c>
    </row>
    <row r="288" spans="1:14" x14ac:dyDescent="0.25">
      <c r="A288" t="s">
        <v>454</v>
      </c>
      <c r="B288" t="s">
        <v>494</v>
      </c>
      <c r="C288" t="s">
        <v>801</v>
      </c>
      <c r="D288">
        <v>2</v>
      </c>
      <c r="E288">
        <v>2</v>
      </c>
      <c r="F288">
        <v>1001</v>
      </c>
      <c r="G288" s="14">
        <v>45945</v>
      </c>
      <c r="H288" s="14">
        <v>45966</v>
      </c>
      <c r="I288">
        <v>22</v>
      </c>
      <c r="J288" s="15">
        <v>1550</v>
      </c>
      <c r="K288" s="16">
        <f t="shared" si="8"/>
        <v>1.5484515484515484</v>
      </c>
      <c r="L288" s="15">
        <v>1550</v>
      </c>
      <c r="M288" s="16">
        <f t="shared" si="9"/>
        <v>1.5484515484515484</v>
      </c>
      <c r="N288" t="s">
        <v>202</v>
      </c>
    </row>
    <row r="289" spans="1:14" x14ac:dyDescent="0.25">
      <c r="A289" t="s">
        <v>465</v>
      </c>
      <c r="B289" t="s">
        <v>551</v>
      </c>
      <c r="C289" t="s">
        <v>802</v>
      </c>
      <c r="D289">
        <v>1</v>
      </c>
      <c r="E289">
        <v>1</v>
      </c>
      <c r="F289">
        <v>757</v>
      </c>
      <c r="G289" s="14">
        <v>45945</v>
      </c>
      <c r="H289" s="14">
        <v>45966</v>
      </c>
      <c r="I289">
        <v>22</v>
      </c>
      <c r="J289" s="15">
        <v>1316</v>
      </c>
      <c r="K289" s="16">
        <f t="shared" si="8"/>
        <v>1.7384412153236459</v>
      </c>
      <c r="L289" s="15">
        <v>1142</v>
      </c>
      <c r="M289" s="16">
        <f t="shared" si="9"/>
        <v>1.5085865257595772</v>
      </c>
      <c r="N289" t="s">
        <v>202</v>
      </c>
    </row>
    <row r="290" spans="1:14" x14ac:dyDescent="0.25">
      <c r="A290" t="s">
        <v>483</v>
      </c>
      <c r="B290" t="s">
        <v>484</v>
      </c>
      <c r="C290" t="s">
        <v>803</v>
      </c>
      <c r="D290">
        <v>2</v>
      </c>
      <c r="E290">
        <v>2</v>
      </c>
      <c r="F290">
        <v>991</v>
      </c>
      <c r="G290" s="14">
        <v>45932</v>
      </c>
      <c r="H290" s="14">
        <v>45967</v>
      </c>
      <c r="I290">
        <v>36</v>
      </c>
      <c r="J290" s="15">
        <v>1083</v>
      </c>
      <c r="K290" s="16">
        <f t="shared" si="8"/>
        <v>1.0928355196770938</v>
      </c>
      <c r="L290" s="15">
        <v>1083</v>
      </c>
      <c r="M290" s="16">
        <f t="shared" si="9"/>
        <v>1.0928355196770938</v>
      </c>
      <c r="N290" t="s">
        <v>202</v>
      </c>
    </row>
    <row r="291" spans="1:14" x14ac:dyDescent="0.25">
      <c r="A291" t="s">
        <v>451</v>
      </c>
      <c r="B291" t="s">
        <v>452</v>
      </c>
      <c r="C291" t="s">
        <v>804</v>
      </c>
      <c r="D291">
        <v>2</v>
      </c>
      <c r="E291">
        <v>2</v>
      </c>
      <c r="F291">
        <v>903</v>
      </c>
      <c r="G291" s="14">
        <v>45819</v>
      </c>
      <c r="H291" s="14">
        <v>45968</v>
      </c>
      <c r="I291">
        <v>150</v>
      </c>
      <c r="J291" s="15">
        <v>1200</v>
      </c>
      <c r="K291" s="16">
        <f t="shared" si="8"/>
        <v>1.3289036544850499</v>
      </c>
      <c r="L291" s="15">
        <v>1000</v>
      </c>
      <c r="M291" s="16">
        <f t="shared" si="9"/>
        <v>1.1074197120708749</v>
      </c>
      <c r="N291" t="s">
        <v>202</v>
      </c>
    </row>
    <row r="292" spans="1:14" x14ac:dyDescent="0.25">
      <c r="A292" t="s">
        <v>457</v>
      </c>
      <c r="B292" t="s">
        <v>683</v>
      </c>
      <c r="C292" t="s">
        <v>805</v>
      </c>
      <c r="D292">
        <v>1</v>
      </c>
      <c r="E292">
        <v>1</v>
      </c>
      <c r="F292">
        <v>762</v>
      </c>
      <c r="G292" s="14">
        <v>45967</v>
      </c>
      <c r="H292" s="14">
        <v>45969</v>
      </c>
      <c r="I292">
        <v>3</v>
      </c>
      <c r="J292" s="15">
        <v>1199</v>
      </c>
      <c r="K292" s="16">
        <f t="shared" si="8"/>
        <v>1.5734908136482939</v>
      </c>
      <c r="L292" s="15">
        <v>1014</v>
      </c>
      <c r="M292" s="16">
        <f t="shared" si="9"/>
        <v>1.3307086614173229</v>
      </c>
      <c r="N292" t="s">
        <v>202</v>
      </c>
    </row>
    <row r="293" spans="1:14" x14ac:dyDescent="0.25">
      <c r="A293" t="s">
        <v>483</v>
      </c>
      <c r="B293" t="s">
        <v>541</v>
      </c>
      <c r="C293" t="s">
        <v>806</v>
      </c>
      <c r="D293">
        <v>1</v>
      </c>
      <c r="E293">
        <v>1</v>
      </c>
      <c r="F293">
        <v>702</v>
      </c>
      <c r="G293" s="14">
        <v>45930</v>
      </c>
      <c r="H293" s="14">
        <v>45970</v>
      </c>
      <c r="I293">
        <v>41</v>
      </c>
      <c r="J293" s="15">
        <v>1077</v>
      </c>
      <c r="K293" s="16">
        <f t="shared" si="8"/>
        <v>1.5341880341880343</v>
      </c>
      <c r="L293" s="15">
        <v>1077</v>
      </c>
      <c r="M293" s="16">
        <f t="shared" si="9"/>
        <v>1.5341880341880343</v>
      </c>
      <c r="N293" t="s">
        <v>202</v>
      </c>
    </row>
    <row r="294" spans="1:14" x14ac:dyDescent="0.25">
      <c r="A294" t="s">
        <v>451</v>
      </c>
      <c r="B294" t="s">
        <v>452</v>
      </c>
      <c r="C294" t="s">
        <v>807</v>
      </c>
      <c r="D294">
        <v>2</v>
      </c>
      <c r="E294">
        <v>2</v>
      </c>
      <c r="F294">
        <v>903</v>
      </c>
      <c r="G294" s="14">
        <v>45939</v>
      </c>
      <c r="H294" s="14">
        <v>45971</v>
      </c>
      <c r="I294">
        <v>33</v>
      </c>
      <c r="J294" s="15">
        <v>1200</v>
      </c>
      <c r="K294" s="16">
        <f t="shared" si="8"/>
        <v>1.3289036544850499</v>
      </c>
      <c r="L294" s="15">
        <v>1000</v>
      </c>
      <c r="M294" s="16">
        <f t="shared" si="9"/>
        <v>1.1074197120708749</v>
      </c>
      <c r="N294" t="s">
        <v>202</v>
      </c>
    </row>
    <row r="295" spans="1:14" x14ac:dyDescent="0.25">
      <c r="A295" t="s">
        <v>451</v>
      </c>
      <c r="B295" t="s">
        <v>452</v>
      </c>
      <c r="C295" t="s">
        <v>808</v>
      </c>
      <c r="D295">
        <v>2</v>
      </c>
      <c r="E295">
        <v>2</v>
      </c>
      <c r="F295">
        <v>903</v>
      </c>
      <c r="G295" s="14">
        <v>45967</v>
      </c>
      <c r="H295" s="14">
        <v>45971</v>
      </c>
      <c r="I295">
        <v>5</v>
      </c>
      <c r="J295" s="15">
        <v>1200</v>
      </c>
      <c r="K295" s="16">
        <f t="shared" si="8"/>
        <v>1.3289036544850499</v>
      </c>
      <c r="L295" s="15">
        <v>1000</v>
      </c>
      <c r="M295" s="16">
        <f t="shared" si="9"/>
        <v>1.1074197120708749</v>
      </c>
      <c r="N295" t="s">
        <v>202</v>
      </c>
    </row>
    <row r="296" spans="1:14" x14ac:dyDescent="0.25">
      <c r="A296" t="s">
        <v>457</v>
      </c>
      <c r="B296" t="s">
        <v>633</v>
      </c>
      <c r="C296" t="s">
        <v>809</v>
      </c>
      <c r="D296">
        <v>1</v>
      </c>
      <c r="E296">
        <v>1</v>
      </c>
      <c r="F296">
        <v>541</v>
      </c>
      <c r="G296" s="14">
        <v>45881</v>
      </c>
      <c r="H296" s="14">
        <v>45972</v>
      </c>
      <c r="I296">
        <v>92</v>
      </c>
      <c r="J296" s="15">
        <v>1069</v>
      </c>
      <c r="K296" s="16">
        <f t="shared" si="8"/>
        <v>1.9759704251386321</v>
      </c>
      <c r="L296" s="15">
        <v>904</v>
      </c>
      <c r="M296" s="16">
        <f t="shared" si="9"/>
        <v>1.6709796672828097</v>
      </c>
      <c r="N296" t="s">
        <v>202</v>
      </c>
    </row>
    <row r="297" spans="1:14" x14ac:dyDescent="0.25">
      <c r="A297" t="s">
        <v>451</v>
      </c>
      <c r="B297" t="s">
        <v>468</v>
      </c>
      <c r="C297" t="s">
        <v>810</v>
      </c>
      <c r="D297">
        <v>2</v>
      </c>
      <c r="E297">
        <v>2</v>
      </c>
      <c r="F297">
        <v>810</v>
      </c>
      <c r="G297" s="14">
        <v>45569</v>
      </c>
      <c r="H297" s="14">
        <v>45973</v>
      </c>
      <c r="I297">
        <v>405</v>
      </c>
      <c r="J297" s="15">
        <v>1200</v>
      </c>
      <c r="K297" s="16">
        <f t="shared" si="8"/>
        <v>1.4814814814814814</v>
      </c>
      <c r="L297" s="15">
        <v>1000</v>
      </c>
      <c r="M297" s="16">
        <f t="shared" si="9"/>
        <v>1.2345679012345678</v>
      </c>
      <c r="N297" t="s">
        <v>202</v>
      </c>
    </row>
    <row r="298" spans="1:14" x14ac:dyDescent="0.25">
      <c r="A298" t="s">
        <v>477</v>
      </c>
      <c r="B298" t="s">
        <v>609</v>
      </c>
      <c r="C298" t="s">
        <v>811</v>
      </c>
      <c r="D298">
        <v>2</v>
      </c>
      <c r="E298">
        <v>2</v>
      </c>
      <c r="F298">
        <v>1050</v>
      </c>
      <c r="G298" s="14">
        <v>45886</v>
      </c>
      <c r="H298" s="14">
        <v>45973</v>
      </c>
      <c r="I298">
        <v>88</v>
      </c>
      <c r="J298" s="15">
        <v>1217</v>
      </c>
      <c r="K298" s="16">
        <f t="shared" si="8"/>
        <v>1.1590476190476191</v>
      </c>
      <c r="L298" s="15">
        <v>1217</v>
      </c>
      <c r="M298" s="16">
        <f t="shared" si="9"/>
        <v>1.1590476190476191</v>
      </c>
      <c r="N298" t="s">
        <v>202</v>
      </c>
    </row>
    <row r="299" spans="1:14" x14ac:dyDescent="0.25">
      <c r="A299" t="s">
        <v>477</v>
      </c>
      <c r="B299" t="s">
        <v>812</v>
      </c>
      <c r="C299" t="s">
        <v>813</v>
      </c>
      <c r="D299">
        <v>4</v>
      </c>
      <c r="E299">
        <v>2</v>
      </c>
      <c r="F299">
        <v>1444</v>
      </c>
      <c r="G299" s="14">
        <v>45917</v>
      </c>
      <c r="H299" s="14">
        <v>45973</v>
      </c>
      <c r="I299">
        <v>57</v>
      </c>
      <c r="J299" s="15">
        <v>1543</v>
      </c>
      <c r="K299" s="16">
        <f t="shared" si="8"/>
        <v>1.0685595567867037</v>
      </c>
      <c r="L299" s="15">
        <v>1543</v>
      </c>
      <c r="M299" s="16">
        <f t="shared" si="9"/>
        <v>1.0685595567867037</v>
      </c>
      <c r="N299" t="s">
        <v>202</v>
      </c>
    </row>
    <row r="300" spans="1:14" x14ac:dyDescent="0.25">
      <c r="A300" t="s">
        <v>462</v>
      </c>
      <c r="B300" t="s">
        <v>463</v>
      </c>
      <c r="C300" t="s">
        <v>814</v>
      </c>
      <c r="D300">
        <v>2</v>
      </c>
      <c r="E300">
        <v>2</v>
      </c>
      <c r="F300">
        <v>958</v>
      </c>
      <c r="G300" s="14">
        <v>45934</v>
      </c>
      <c r="H300" s="14">
        <v>45973</v>
      </c>
      <c r="I300">
        <v>40</v>
      </c>
      <c r="J300" s="15">
        <v>1650</v>
      </c>
      <c r="K300" s="16">
        <f t="shared" si="8"/>
        <v>1.7223382045929019</v>
      </c>
      <c r="L300" s="15">
        <v>1238</v>
      </c>
      <c r="M300" s="16">
        <f t="shared" si="9"/>
        <v>1.292275574112735</v>
      </c>
      <c r="N300" t="s">
        <v>202</v>
      </c>
    </row>
    <row r="301" spans="1:14" x14ac:dyDescent="0.25">
      <c r="A301" t="s">
        <v>462</v>
      </c>
      <c r="B301" t="s">
        <v>475</v>
      </c>
      <c r="C301" t="s">
        <v>815</v>
      </c>
      <c r="D301">
        <v>2</v>
      </c>
      <c r="E301">
        <v>2</v>
      </c>
      <c r="F301">
        <v>1029</v>
      </c>
      <c r="G301" s="14">
        <v>45934</v>
      </c>
      <c r="H301" s="14">
        <v>45973</v>
      </c>
      <c r="I301">
        <v>40</v>
      </c>
      <c r="J301" s="15">
        <v>1750</v>
      </c>
      <c r="K301" s="16">
        <f t="shared" si="8"/>
        <v>1.7006802721088434</v>
      </c>
      <c r="L301" s="15">
        <v>1312</v>
      </c>
      <c r="M301" s="16">
        <f t="shared" si="9"/>
        <v>1.2750242954324587</v>
      </c>
      <c r="N301" t="s">
        <v>202</v>
      </c>
    </row>
    <row r="302" spans="1:14" x14ac:dyDescent="0.25">
      <c r="A302" t="s">
        <v>462</v>
      </c>
      <c r="B302" t="s">
        <v>553</v>
      </c>
      <c r="C302" t="s">
        <v>816</v>
      </c>
      <c r="D302">
        <v>3</v>
      </c>
      <c r="E302">
        <v>2</v>
      </c>
      <c r="F302">
        <v>1166</v>
      </c>
      <c r="G302" s="14">
        <v>45791</v>
      </c>
      <c r="H302" s="14">
        <v>45973</v>
      </c>
      <c r="I302">
        <v>183</v>
      </c>
      <c r="J302" s="15">
        <v>1950</v>
      </c>
      <c r="K302" s="16">
        <f t="shared" si="8"/>
        <v>1.6723842195540308</v>
      </c>
      <c r="L302" s="15">
        <v>1462</v>
      </c>
      <c r="M302" s="16">
        <f t="shared" si="9"/>
        <v>1.2538593481989708</v>
      </c>
      <c r="N302" t="s">
        <v>202</v>
      </c>
    </row>
    <row r="303" spans="1:14" x14ac:dyDescent="0.25">
      <c r="A303" t="s">
        <v>462</v>
      </c>
      <c r="B303" t="s">
        <v>507</v>
      </c>
      <c r="C303" t="s">
        <v>817</v>
      </c>
      <c r="D303">
        <v>3</v>
      </c>
      <c r="E303">
        <v>2</v>
      </c>
      <c r="F303">
        <v>1345</v>
      </c>
      <c r="G303" s="14">
        <v>45889</v>
      </c>
      <c r="H303" s="14">
        <v>45973</v>
      </c>
      <c r="I303">
        <v>85</v>
      </c>
      <c r="J303" s="15">
        <v>2150</v>
      </c>
      <c r="K303" s="16">
        <f t="shared" si="8"/>
        <v>1.5985130111524164</v>
      </c>
      <c r="L303" s="15">
        <v>1612</v>
      </c>
      <c r="M303" s="16">
        <f t="shared" si="9"/>
        <v>1.1985130111524163</v>
      </c>
      <c r="N303" t="s">
        <v>202</v>
      </c>
    </row>
    <row r="304" spans="1:14" x14ac:dyDescent="0.25">
      <c r="A304" t="s">
        <v>472</v>
      </c>
      <c r="B304" t="s">
        <v>473</v>
      </c>
      <c r="C304" t="s">
        <v>818</v>
      </c>
      <c r="D304">
        <v>2</v>
      </c>
      <c r="E304">
        <v>1</v>
      </c>
      <c r="F304">
        <v>800</v>
      </c>
      <c r="G304" s="14">
        <v>45946</v>
      </c>
      <c r="H304" s="14">
        <v>45973</v>
      </c>
      <c r="I304">
        <v>28</v>
      </c>
      <c r="J304" s="15">
        <v>1498</v>
      </c>
      <c r="K304" s="16">
        <f t="shared" si="8"/>
        <v>1.8725000000000001</v>
      </c>
      <c r="L304" s="15">
        <v>1268</v>
      </c>
      <c r="M304" s="16">
        <f t="shared" si="9"/>
        <v>1.585</v>
      </c>
      <c r="N304" t="s">
        <v>202</v>
      </c>
    </row>
    <row r="305" spans="1:14" x14ac:dyDescent="0.25">
      <c r="A305" t="s">
        <v>462</v>
      </c>
      <c r="B305" t="s">
        <v>475</v>
      </c>
      <c r="C305" t="s">
        <v>650</v>
      </c>
      <c r="D305">
        <v>2</v>
      </c>
      <c r="E305">
        <v>2</v>
      </c>
      <c r="F305">
        <v>1029</v>
      </c>
      <c r="G305" s="14">
        <v>45958</v>
      </c>
      <c r="H305" s="14">
        <v>45974</v>
      </c>
      <c r="I305">
        <v>17</v>
      </c>
      <c r="J305" s="15">
        <v>1600</v>
      </c>
      <c r="K305" s="16">
        <f t="shared" si="8"/>
        <v>1.554907677356657</v>
      </c>
      <c r="L305" s="15">
        <v>1200</v>
      </c>
      <c r="M305" s="16">
        <f t="shared" si="9"/>
        <v>1.1661807580174928</v>
      </c>
      <c r="N305" t="s">
        <v>202</v>
      </c>
    </row>
    <row r="306" spans="1:14" x14ac:dyDescent="0.25">
      <c r="A306" t="s">
        <v>462</v>
      </c>
      <c r="B306" t="s">
        <v>475</v>
      </c>
      <c r="C306" t="s">
        <v>819</v>
      </c>
      <c r="D306">
        <v>2</v>
      </c>
      <c r="E306">
        <v>2</v>
      </c>
      <c r="F306">
        <v>1029</v>
      </c>
      <c r="G306" s="14">
        <v>45934</v>
      </c>
      <c r="H306" s="14">
        <v>45974</v>
      </c>
      <c r="I306">
        <v>41</v>
      </c>
      <c r="J306" s="15">
        <v>1600</v>
      </c>
      <c r="K306" s="16">
        <f t="shared" si="8"/>
        <v>1.554907677356657</v>
      </c>
      <c r="L306" s="15">
        <v>1200</v>
      </c>
      <c r="M306" s="16">
        <f t="shared" si="9"/>
        <v>1.1661807580174928</v>
      </c>
      <c r="N306" t="s">
        <v>202</v>
      </c>
    </row>
    <row r="307" spans="1:14" x14ac:dyDescent="0.25">
      <c r="A307" t="s">
        <v>462</v>
      </c>
      <c r="B307" t="s">
        <v>475</v>
      </c>
      <c r="C307" t="s">
        <v>820</v>
      </c>
      <c r="D307">
        <v>2</v>
      </c>
      <c r="E307">
        <v>2</v>
      </c>
      <c r="F307">
        <v>1029</v>
      </c>
      <c r="G307" s="14">
        <v>45875</v>
      </c>
      <c r="H307" s="14">
        <v>45974</v>
      </c>
      <c r="I307">
        <v>100</v>
      </c>
      <c r="J307" s="15">
        <v>1800</v>
      </c>
      <c r="K307" s="16">
        <f t="shared" si="8"/>
        <v>1.749271137026239</v>
      </c>
      <c r="L307" s="15">
        <v>1350</v>
      </c>
      <c r="M307" s="16">
        <f t="shared" si="9"/>
        <v>1.3119533527696794</v>
      </c>
      <c r="N307" t="s">
        <v>202</v>
      </c>
    </row>
    <row r="308" spans="1:14" x14ac:dyDescent="0.25">
      <c r="A308" t="s">
        <v>472</v>
      </c>
      <c r="B308" t="s">
        <v>473</v>
      </c>
      <c r="C308" t="s">
        <v>821</v>
      </c>
      <c r="D308">
        <v>2</v>
      </c>
      <c r="E308">
        <v>1</v>
      </c>
      <c r="F308">
        <v>800</v>
      </c>
      <c r="G308" s="14">
        <v>45839</v>
      </c>
      <c r="H308" s="14">
        <v>45974</v>
      </c>
      <c r="I308">
        <v>136</v>
      </c>
      <c r="J308" s="15">
        <v>1348</v>
      </c>
      <c r="K308" s="16">
        <f t="shared" si="8"/>
        <v>1.6850000000000001</v>
      </c>
      <c r="L308" s="15">
        <v>1141</v>
      </c>
      <c r="M308" s="16">
        <f t="shared" si="9"/>
        <v>1.42625</v>
      </c>
      <c r="N308" t="s">
        <v>202</v>
      </c>
    </row>
    <row r="309" spans="1:14" x14ac:dyDescent="0.25">
      <c r="A309" t="s">
        <v>465</v>
      </c>
      <c r="B309" t="s">
        <v>822</v>
      </c>
      <c r="C309" t="s">
        <v>823</v>
      </c>
      <c r="D309">
        <v>2</v>
      </c>
      <c r="E309">
        <v>1</v>
      </c>
      <c r="F309">
        <v>912</v>
      </c>
      <c r="G309" s="14">
        <v>45933</v>
      </c>
      <c r="H309" s="14">
        <v>45974</v>
      </c>
      <c r="I309">
        <v>42</v>
      </c>
      <c r="J309" s="15">
        <v>1256</v>
      </c>
      <c r="K309" s="16">
        <f t="shared" si="8"/>
        <v>1.3771929824561404</v>
      </c>
      <c r="L309" s="15">
        <v>1077</v>
      </c>
      <c r="M309" s="16">
        <f t="shared" si="9"/>
        <v>1.180921052631579</v>
      </c>
      <c r="N309" t="s">
        <v>202</v>
      </c>
    </row>
    <row r="310" spans="1:14" x14ac:dyDescent="0.25">
      <c r="A310" t="s">
        <v>472</v>
      </c>
      <c r="B310" t="s">
        <v>473</v>
      </c>
      <c r="C310" t="s">
        <v>824</v>
      </c>
      <c r="D310">
        <v>2</v>
      </c>
      <c r="E310">
        <v>1</v>
      </c>
      <c r="F310">
        <v>800</v>
      </c>
      <c r="G310" s="14">
        <v>45933</v>
      </c>
      <c r="H310" s="14">
        <v>45975</v>
      </c>
      <c r="I310">
        <v>43</v>
      </c>
      <c r="J310" s="15">
        <v>1448</v>
      </c>
      <c r="K310" s="16">
        <f t="shared" si="8"/>
        <v>1.81</v>
      </c>
      <c r="L310" s="15">
        <v>1241</v>
      </c>
      <c r="M310" s="16">
        <f t="shared" si="9"/>
        <v>1.55125</v>
      </c>
      <c r="N310" t="s">
        <v>202</v>
      </c>
    </row>
    <row r="311" spans="1:14" x14ac:dyDescent="0.25">
      <c r="A311" t="s">
        <v>486</v>
      </c>
      <c r="B311" t="s">
        <v>615</v>
      </c>
      <c r="C311" t="s">
        <v>825</v>
      </c>
      <c r="D311">
        <v>2</v>
      </c>
      <c r="E311">
        <v>2</v>
      </c>
      <c r="F311">
        <v>1000</v>
      </c>
      <c r="G311" s="14">
        <v>45812</v>
      </c>
      <c r="H311" s="14">
        <v>45975</v>
      </c>
      <c r="I311">
        <v>164</v>
      </c>
      <c r="J311" s="15">
        <v>1375</v>
      </c>
      <c r="K311" s="16">
        <f t="shared" si="8"/>
        <v>1.375</v>
      </c>
      <c r="L311" s="15">
        <v>1163</v>
      </c>
      <c r="M311" s="16">
        <f t="shared" si="9"/>
        <v>1.163</v>
      </c>
      <c r="N311" t="s">
        <v>202</v>
      </c>
    </row>
    <row r="312" spans="1:14" x14ac:dyDescent="0.25">
      <c r="A312" t="s">
        <v>486</v>
      </c>
      <c r="B312" t="s">
        <v>521</v>
      </c>
      <c r="C312" t="s">
        <v>826</v>
      </c>
      <c r="D312">
        <v>2</v>
      </c>
      <c r="E312">
        <v>2</v>
      </c>
      <c r="F312">
        <v>1000</v>
      </c>
      <c r="G312" s="14">
        <v>45952</v>
      </c>
      <c r="H312" s="14">
        <v>45975</v>
      </c>
      <c r="I312">
        <v>24</v>
      </c>
      <c r="J312" s="15">
        <v>1400</v>
      </c>
      <c r="K312" s="16">
        <f t="shared" si="8"/>
        <v>1.4</v>
      </c>
      <c r="L312" s="15">
        <v>1184</v>
      </c>
      <c r="M312" s="16">
        <f t="shared" si="9"/>
        <v>1.1839999999999999</v>
      </c>
      <c r="N312" t="s">
        <v>202</v>
      </c>
    </row>
    <row r="313" spans="1:14" x14ac:dyDescent="0.25">
      <c r="A313" t="s">
        <v>451</v>
      </c>
      <c r="B313" t="s">
        <v>460</v>
      </c>
      <c r="C313" t="s">
        <v>827</v>
      </c>
      <c r="D313">
        <v>1</v>
      </c>
      <c r="E313">
        <v>1</v>
      </c>
      <c r="F313">
        <v>726</v>
      </c>
      <c r="G313" s="14">
        <v>45908</v>
      </c>
      <c r="H313" s="14">
        <v>45976</v>
      </c>
      <c r="I313">
        <v>69</v>
      </c>
      <c r="J313" s="15">
        <v>1000</v>
      </c>
      <c r="K313" s="16">
        <f t="shared" si="8"/>
        <v>1.3774104683195592</v>
      </c>
      <c r="L313" s="15">
        <v>833</v>
      </c>
      <c r="M313" s="16">
        <f t="shared" si="9"/>
        <v>1.1473829201101928</v>
      </c>
      <c r="N313" t="s">
        <v>202</v>
      </c>
    </row>
    <row r="314" spans="1:14" x14ac:dyDescent="0.25">
      <c r="A314" t="s">
        <v>477</v>
      </c>
      <c r="B314" t="s">
        <v>478</v>
      </c>
      <c r="C314" t="s">
        <v>828</v>
      </c>
      <c r="D314">
        <v>1</v>
      </c>
      <c r="E314">
        <v>1</v>
      </c>
      <c r="F314">
        <v>771</v>
      </c>
      <c r="G314" s="14">
        <v>45969</v>
      </c>
      <c r="H314" s="14">
        <v>45976</v>
      </c>
      <c r="I314">
        <v>8</v>
      </c>
      <c r="J314" s="15">
        <v>1031</v>
      </c>
      <c r="K314" s="16">
        <f t="shared" si="8"/>
        <v>1.3372243839169908</v>
      </c>
      <c r="L314" s="15">
        <v>1031</v>
      </c>
      <c r="M314" s="16">
        <f t="shared" si="9"/>
        <v>1.3372243839169908</v>
      </c>
      <c r="N314" t="s">
        <v>202</v>
      </c>
    </row>
    <row r="315" spans="1:14" x14ac:dyDescent="0.25">
      <c r="A315" t="s">
        <v>477</v>
      </c>
      <c r="B315" t="s">
        <v>587</v>
      </c>
      <c r="C315" t="s">
        <v>829</v>
      </c>
      <c r="D315">
        <v>3</v>
      </c>
      <c r="E315">
        <v>2</v>
      </c>
      <c r="F315">
        <v>1244</v>
      </c>
      <c r="G315" s="14">
        <v>45962</v>
      </c>
      <c r="H315" s="14">
        <v>45976</v>
      </c>
      <c r="I315">
        <v>15</v>
      </c>
      <c r="J315" s="15">
        <v>1396</v>
      </c>
      <c r="K315" s="16">
        <f t="shared" si="8"/>
        <v>1.1221864951768488</v>
      </c>
      <c r="L315" s="15">
        <v>1396</v>
      </c>
      <c r="M315" s="16">
        <f t="shared" si="9"/>
        <v>1.1221864951768488</v>
      </c>
      <c r="N315" t="s">
        <v>202</v>
      </c>
    </row>
    <row r="316" spans="1:14" x14ac:dyDescent="0.25">
      <c r="A316" t="s">
        <v>472</v>
      </c>
      <c r="B316" t="s">
        <v>496</v>
      </c>
      <c r="C316" t="s">
        <v>830</v>
      </c>
      <c r="D316">
        <v>1</v>
      </c>
      <c r="E316">
        <v>1</v>
      </c>
      <c r="F316">
        <v>625</v>
      </c>
      <c r="G316" s="14">
        <v>45959</v>
      </c>
      <c r="H316" s="14">
        <v>45976</v>
      </c>
      <c r="I316">
        <v>18</v>
      </c>
      <c r="J316" s="15">
        <v>1193</v>
      </c>
      <c r="K316" s="16">
        <f t="shared" si="8"/>
        <v>1.9088000000000001</v>
      </c>
      <c r="L316" s="15">
        <v>1023</v>
      </c>
      <c r="M316" s="16">
        <f t="shared" si="9"/>
        <v>1.6368</v>
      </c>
      <c r="N316" t="s">
        <v>202</v>
      </c>
    </row>
    <row r="317" spans="1:14" x14ac:dyDescent="0.25">
      <c r="A317" t="s">
        <v>486</v>
      </c>
      <c r="B317" t="s">
        <v>521</v>
      </c>
      <c r="C317" t="s">
        <v>831</v>
      </c>
      <c r="D317">
        <v>2</v>
      </c>
      <c r="E317">
        <v>2</v>
      </c>
      <c r="F317">
        <v>1000</v>
      </c>
      <c r="G317" s="14">
        <v>45951</v>
      </c>
      <c r="H317" s="14">
        <v>45976</v>
      </c>
      <c r="I317">
        <v>26</v>
      </c>
      <c r="J317" s="15">
        <v>1400</v>
      </c>
      <c r="K317" s="16">
        <f t="shared" si="8"/>
        <v>1.4</v>
      </c>
      <c r="L317" s="15">
        <v>1184</v>
      </c>
      <c r="M317" s="16">
        <f t="shared" si="9"/>
        <v>1.1839999999999999</v>
      </c>
      <c r="N317" t="s">
        <v>202</v>
      </c>
    </row>
    <row r="318" spans="1:14" x14ac:dyDescent="0.25">
      <c r="A318" t="s">
        <v>483</v>
      </c>
      <c r="B318" t="s">
        <v>484</v>
      </c>
      <c r="C318" t="s">
        <v>832</v>
      </c>
      <c r="D318">
        <v>2</v>
      </c>
      <c r="E318">
        <v>2</v>
      </c>
      <c r="F318">
        <v>991</v>
      </c>
      <c r="G318" s="14">
        <v>45972</v>
      </c>
      <c r="H318" s="14">
        <v>45976</v>
      </c>
      <c r="I318">
        <v>5</v>
      </c>
      <c r="J318" s="15">
        <v>904</v>
      </c>
      <c r="K318" s="16">
        <f t="shared" si="8"/>
        <v>0.91220988900100908</v>
      </c>
      <c r="L318" s="15">
        <v>904</v>
      </c>
      <c r="M318" s="16">
        <f t="shared" si="9"/>
        <v>0.91220988900100908</v>
      </c>
      <c r="N318" t="s">
        <v>202</v>
      </c>
    </row>
    <row r="319" spans="1:14" x14ac:dyDescent="0.25">
      <c r="A319" t="s">
        <v>486</v>
      </c>
      <c r="B319" t="s">
        <v>521</v>
      </c>
      <c r="C319" t="s">
        <v>833</v>
      </c>
      <c r="D319">
        <v>2</v>
      </c>
      <c r="E319">
        <v>2</v>
      </c>
      <c r="F319">
        <v>1000</v>
      </c>
      <c r="G319" s="14">
        <v>45938</v>
      </c>
      <c r="H319" s="14">
        <v>45977</v>
      </c>
      <c r="I319">
        <v>40</v>
      </c>
      <c r="J319" s="15">
        <v>1440</v>
      </c>
      <c r="K319" s="16">
        <f t="shared" si="8"/>
        <v>1.44</v>
      </c>
      <c r="L319" s="15">
        <v>1218</v>
      </c>
      <c r="M319" s="16">
        <f t="shared" si="9"/>
        <v>1.218</v>
      </c>
      <c r="N319" t="s">
        <v>202</v>
      </c>
    </row>
    <row r="320" spans="1:14" x14ac:dyDescent="0.25">
      <c r="A320" t="s">
        <v>486</v>
      </c>
      <c r="B320" t="s">
        <v>487</v>
      </c>
      <c r="C320" t="s">
        <v>834</v>
      </c>
      <c r="D320">
        <v>2</v>
      </c>
      <c r="E320">
        <v>2</v>
      </c>
      <c r="F320">
        <v>1000</v>
      </c>
      <c r="G320" s="14">
        <v>45835</v>
      </c>
      <c r="H320" s="14">
        <v>45978</v>
      </c>
      <c r="I320">
        <v>144</v>
      </c>
      <c r="J320" s="15">
        <v>1265</v>
      </c>
      <c r="K320" s="16">
        <f t="shared" si="8"/>
        <v>1.2649999999999999</v>
      </c>
      <c r="L320" s="15">
        <v>1070</v>
      </c>
      <c r="M320" s="16">
        <f t="shared" si="9"/>
        <v>1.07</v>
      </c>
      <c r="N320" t="s">
        <v>202</v>
      </c>
    </row>
    <row r="321" spans="1:14" x14ac:dyDescent="0.25">
      <c r="A321" t="s">
        <v>457</v>
      </c>
      <c r="B321" t="s">
        <v>525</v>
      </c>
      <c r="C321" t="s">
        <v>835</v>
      </c>
      <c r="D321">
        <v>2</v>
      </c>
      <c r="E321">
        <v>2</v>
      </c>
      <c r="F321">
        <v>1001</v>
      </c>
      <c r="G321" s="14">
        <v>45932</v>
      </c>
      <c r="H321" s="14">
        <v>45978</v>
      </c>
      <c r="I321">
        <v>47</v>
      </c>
      <c r="J321" s="15">
        <v>1426</v>
      </c>
      <c r="K321" s="16">
        <f t="shared" si="8"/>
        <v>1.4245754245754245</v>
      </c>
      <c r="L321" s="15">
        <v>1206</v>
      </c>
      <c r="M321" s="16">
        <f t="shared" si="9"/>
        <v>1.2047952047952049</v>
      </c>
      <c r="N321" t="s">
        <v>202</v>
      </c>
    </row>
    <row r="322" spans="1:14" x14ac:dyDescent="0.25">
      <c r="A322" t="s">
        <v>451</v>
      </c>
      <c r="B322" t="s">
        <v>468</v>
      </c>
      <c r="C322" t="s">
        <v>836</v>
      </c>
      <c r="D322">
        <v>2</v>
      </c>
      <c r="E322">
        <v>2</v>
      </c>
      <c r="F322">
        <v>810</v>
      </c>
      <c r="G322" s="14">
        <v>45876</v>
      </c>
      <c r="H322" s="14">
        <v>45979</v>
      </c>
      <c r="I322">
        <v>104</v>
      </c>
      <c r="J322" s="15">
        <v>1200</v>
      </c>
      <c r="K322" s="16">
        <f t="shared" ref="K322:K385" si="10">IFERROR(J322/F322,0)</f>
        <v>1.4814814814814814</v>
      </c>
      <c r="L322" s="15">
        <v>1000</v>
      </c>
      <c r="M322" s="16">
        <f t="shared" ref="M322:M385" si="11">IFERROR(L322/F322,0)</f>
        <v>1.2345679012345678</v>
      </c>
      <c r="N322" t="s">
        <v>202</v>
      </c>
    </row>
    <row r="323" spans="1:14" x14ac:dyDescent="0.25">
      <c r="A323" t="s">
        <v>454</v>
      </c>
      <c r="B323" t="s">
        <v>455</v>
      </c>
      <c r="C323" t="s">
        <v>837</v>
      </c>
      <c r="D323">
        <v>2</v>
      </c>
      <c r="E323">
        <v>2</v>
      </c>
      <c r="F323">
        <v>1001</v>
      </c>
      <c r="G323" s="14">
        <v>45895</v>
      </c>
      <c r="H323" s="14">
        <v>45979</v>
      </c>
      <c r="I323">
        <v>85</v>
      </c>
      <c r="J323" s="15">
        <v>1475</v>
      </c>
      <c r="K323" s="16">
        <f t="shared" si="10"/>
        <v>1.4735264735264735</v>
      </c>
      <c r="L323" s="15">
        <v>1475</v>
      </c>
      <c r="M323" s="16">
        <f t="shared" si="11"/>
        <v>1.4735264735264735</v>
      </c>
      <c r="N323" t="s">
        <v>202</v>
      </c>
    </row>
    <row r="324" spans="1:14" x14ac:dyDescent="0.25">
      <c r="A324" t="s">
        <v>457</v>
      </c>
      <c r="B324" t="s">
        <v>562</v>
      </c>
      <c r="C324" t="s">
        <v>838</v>
      </c>
      <c r="D324">
        <v>2</v>
      </c>
      <c r="E324">
        <v>2</v>
      </c>
      <c r="F324">
        <v>1001</v>
      </c>
      <c r="G324" s="14">
        <v>45940</v>
      </c>
      <c r="H324" s="14">
        <v>45979</v>
      </c>
      <c r="I324">
        <v>40</v>
      </c>
      <c r="J324" s="15">
        <v>1306</v>
      </c>
      <c r="K324" s="16">
        <f t="shared" si="10"/>
        <v>1.3046953046953047</v>
      </c>
      <c r="L324" s="15">
        <v>1105</v>
      </c>
      <c r="M324" s="16">
        <f t="shared" si="11"/>
        <v>1.1038961038961039</v>
      </c>
      <c r="N324" t="s">
        <v>202</v>
      </c>
    </row>
    <row r="325" spans="1:14" x14ac:dyDescent="0.25">
      <c r="A325" t="s">
        <v>457</v>
      </c>
      <c r="B325" t="s">
        <v>562</v>
      </c>
      <c r="C325" t="s">
        <v>839</v>
      </c>
      <c r="D325">
        <v>2</v>
      </c>
      <c r="E325">
        <v>2</v>
      </c>
      <c r="F325">
        <v>1001</v>
      </c>
      <c r="G325" s="14">
        <v>45973</v>
      </c>
      <c r="H325" s="14">
        <v>45979</v>
      </c>
      <c r="I325">
        <v>7</v>
      </c>
      <c r="J325" s="15">
        <v>1331</v>
      </c>
      <c r="K325" s="16">
        <f t="shared" si="10"/>
        <v>1.3296703296703296</v>
      </c>
      <c r="L325" s="15">
        <v>1126</v>
      </c>
      <c r="M325" s="16">
        <f t="shared" si="11"/>
        <v>1.124875124875125</v>
      </c>
      <c r="N325" t="s">
        <v>202</v>
      </c>
    </row>
    <row r="326" spans="1:14" x14ac:dyDescent="0.25">
      <c r="A326" t="s">
        <v>457</v>
      </c>
      <c r="B326" t="s">
        <v>525</v>
      </c>
      <c r="C326" t="s">
        <v>840</v>
      </c>
      <c r="D326">
        <v>2</v>
      </c>
      <c r="E326">
        <v>2</v>
      </c>
      <c r="F326">
        <v>1001</v>
      </c>
      <c r="G326" s="14">
        <v>45841</v>
      </c>
      <c r="H326" s="14">
        <v>45979</v>
      </c>
      <c r="I326">
        <v>139</v>
      </c>
      <c r="J326" s="15">
        <v>1401</v>
      </c>
      <c r="K326" s="16">
        <f t="shared" si="10"/>
        <v>1.3996003996003996</v>
      </c>
      <c r="L326" s="15">
        <v>1185</v>
      </c>
      <c r="M326" s="16">
        <f t="shared" si="11"/>
        <v>1.1838161838161838</v>
      </c>
      <c r="N326" t="s">
        <v>202</v>
      </c>
    </row>
    <row r="327" spans="1:14" x14ac:dyDescent="0.25">
      <c r="A327" t="s">
        <v>465</v>
      </c>
      <c r="B327" t="s">
        <v>593</v>
      </c>
      <c r="C327" t="s">
        <v>841</v>
      </c>
      <c r="D327">
        <v>3</v>
      </c>
      <c r="E327">
        <v>2</v>
      </c>
      <c r="F327">
        <v>1181</v>
      </c>
      <c r="G327" s="14">
        <v>45788</v>
      </c>
      <c r="H327" s="14">
        <v>45979</v>
      </c>
      <c r="I327">
        <v>192</v>
      </c>
      <c r="J327" s="15">
        <v>1675</v>
      </c>
      <c r="K327" s="16">
        <f t="shared" si="10"/>
        <v>1.4182895850973751</v>
      </c>
      <c r="L327" s="15">
        <v>1675</v>
      </c>
      <c r="M327" s="16">
        <f t="shared" si="11"/>
        <v>1.4182895850973751</v>
      </c>
      <c r="N327" t="s">
        <v>202</v>
      </c>
    </row>
    <row r="328" spans="1:14" x14ac:dyDescent="0.25">
      <c r="A328" t="s">
        <v>477</v>
      </c>
      <c r="B328" t="s">
        <v>478</v>
      </c>
      <c r="C328" t="s">
        <v>842</v>
      </c>
      <c r="D328">
        <v>1</v>
      </c>
      <c r="E328">
        <v>1</v>
      </c>
      <c r="F328">
        <v>771</v>
      </c>
      <c r="G328" s="14">
        <v>45848</v>
      </c>
      <c r="H328" s="14">
        <v>45980</v>
      </c>
      <c r="I328">
        <v>133</v>
      </c>
      <c r="J328" s="15">
        <v>1031</v>
      </c>
      <c r="K328" s="16">
        <f t="shared" si="10"/>
        <v>1.3372243839169908</v>
      </c>
      <c r="L328" s="15">
        <v>1031</v>
      </c>
      <c r="M328" s="16">
        <f t="shared" si="11"/>
        <v>1.3372243839169908</v>
      </c>
      <c r="N328" t="s">
        <v>202</v>
      </c>
    </row>
    <row r="329" spans="1:14" x14ac:dyDescent="0.25">
      <c r="A329" t="s">
        <v>477</v>
      </c>
      <c r="B329" t="s">
        <v>609</v>
      </c>
      <c r="C329" t="s">
        <v>843</v>
      </c>
      <c r="D329">
        <v>2</v>
      </c>
      <c r="E329">
        <v>2</v>
      </c>
      <c r="F329">
        <v>1050</v>
      </c>
      <c r="G329" s="14">
        <v>45979</v>
      </c>
      <c r="H329" s="14">
        <v>45980</v>
      </c>
      <c r="I329">
        <v>2</v>
      </c>
      <c r="J329" s="15">
        <v>1217</v>
      </c>
      <c r="K329" s="16">
        <f t="shared" si="10"/>
        <v>1.1590476190476191</v>
      </c>
      <c r="L329" s="15">
        <v>1217</v>
      </c>
      <c r="M329" s="16">
        <f t="shared" si="11"/>
        <v>1.1590476190476191</v>
      </c>
      <c r="N329" t="s">
        <v>202</v>
      </c>
    </row>
    <row r="330" spans="1:14" x14ac:dyDescent="0.25">
      <c r="A330" t="s">
        <v>462</v>
      </c>
      <c r="B330" t="s">
        <v>470</v>
      </c>
      <c r="C330" t="s">
        <v>844</v>
      </c>
      <c r="D330">
        <v>1</v>
      </c>
      <c r="E330">
        <v>1</v>
      </c>
      <c r="F330">
        <v>732</v>
      </c>
      <c r="G330" s="14">
        <v>45811</v>
      </c>
      <c r="H330" s="14">
        <v>45980</v>
      </c>
      <c r="I330">
        <v>170</v>
      </c>
      <c r="J330" s="15">
        <v>1550</v>
      </c>
      <c r="K330" s="16">
        <f t="shared" si="10"/>
        <v>2.1174863387978142</v>
      </c>
      <c r="L330" s="15">
        <v>1162</v>
      </c>
      <c r="M330" s="16">
        <f t="shared" si="11"/>
        <v>1.5874316939890711</v>
      </c>
      <c r="N330" t="s">
        <v>202</v>
      </c>
    </row>
    <row r="331" spans="1:14" x14ac:dyDescent="0.25">
      <c r="A331" t="s">
        <v>483</v>
      </c>
      <c r="B331" t="s">
        <v>484</v>
      </c>
      <c r="C331" t="s">
        <v>845</v>
      </c>
      <c r="D331">
        <v>2</v>
      </c>
      <c r="E331">
        <v>2</v>
      </c>
      <c r="F331">
        <v>991</v>
      </c>
      <c r="G331" s="14">
        <v>45907</v>
      </c>
      <c r="H331" s="14">
        <v>45980</v>
      </c>
      <c r="I331">
        <v>74</v>
      </c>
      <c r="J331" s="15">
        <v>1292</v>
      </c>
      <c r="K331" s="16">
        <f t="shared" si="10"/>
        <v>1.3037336024217963</v>
      </c>
      <c r="L331" s="15">
        <v>1292</v>
      </c>
      <c r="M331" s="16">
        <f t="shared" si="11"/>
        <v>1.3037336024217963</v>
      </c>
      <c r="N331" t="s">
        <v>202</v>
      </c>
    </row>
    <row r="332" spans="1:14" x14ac:dyDescent="0.25">
      <c r="A332" t="s">
        <v>483</v>
      </c>
      <c r="B332" t="s">
        <v>570</v>
      </c>
      <c r="C332" t="s">
        <v>846</v>
      </c>
      <c r="D332">
        <v>3</v>
      </c>
      <c r="E332">
        <v>2</v>
      </c>
      <c r="F332">
        <v>1143</v>
      </c>
      <c r="G332" s="14">
        <v>45941</v>
      </c>
      <c r="H332" s="14">
        <v>45980</v>
      </c>
      <c r="I332">
        <v>40</v>
      </c>
      <c r="J332" s="15">
        <v>1212</v>
      </c>
      <c r="K332" s="16">
        <f t="shared" si="10"/>
        <v>1.0603674540682415</v>
      </c>
      <c r="L332" s="15">
        <v>1212</v>
      </c>
      <c r="M332" s="16">
        <f t="shared" si="11"/>
        <v>1.0603674540682415</v>
      </c>
      <c r="N332" t="s">
        <v>202</v>
      </c>
    </row>
    <row r="333" spans="1:14" x14ac:dyDescent="0.25">
      <c r="A333" t="s">
        <v>451</v>
      </c>
      <c r="B333" t="s">
        <v>468</v>
      </c>
      <c r="C333" t="s">
        <v>847</v>
      </c>
      <c r="D333">
        <v>2</v>
      </c>
      <c r="E333">
        <v>2</v>
      </c>
      <c r="F333">
        <v>810</v>
      </c>
      <c r="G333" s="14">
        <v>45581</v>
      </c>
      <c r="H333" s="14">
        <v>45981</v>
      </c>
      <c r="I333">
        <v>401</v>
      </c>
      <c r="J333" s="15">
        <v>1200</v>
      </c>
      <c r="K333" s="16">
        <f t="shared" si="10"/>
        <v>1.4814814814814814</v>
      </c>
      <c r="L333" s="15">
        <v>1000</v>
      </c>
      <c r="M333" s="16">
        <f t="shared" si="11"/>
        <v>1.2345679012345678</v>
      </c>
      <c r="N333" t="s">
        <v>202</v>
      </c>
    </row>
    <row r="334" spans="1:14" x14ac:dyDescent="0.25">
      <c r="A334" t="s">
        <v>451</v>
      </c>
      <c r="B334" t="s">
        <v>452</v>
      </c>
      <c r="C334" t="s">
        <v>848</v>
      </c>
      <c r="D334">
        <v>2</v>
      </c>
      <c r="E334">
        <v>2</v>
      </c>
      <c r="F334">
        <v>903</v>
      </c>
      <c r="G334" s="14">
        <v>45966</v>
      </c>
      <c r="H334" s="14">
        <v>45981</v>
      </c>
      <c r="I334">
        <v>16</v>
      </c>
      <c r="J334" s="15">
        <v>1200</v>
      </c>
      <c r="K334" s="16">
        <f t="shared" si="10"/>
        <v>1.3289036544850499</v>
      </c>
      <c r="L334" s="15">
        <v>1000</v>
      </c>
      <c r="M334" s="16">
        <f t="shared" si="11"/>
        <v>1.1074197120708749</v>
      </c>
      <c r="N334" t="s">
        <v>202</v>
      </c>
    </row>
    <row r="335" spans="1:14" x14ac:dyDescent="0.25">
      <c r="A335" t="s">
        <v>472</v>
      </c>
      <c r="B335" t="s">
        <v>473</v>
      </c>
      <c r="C335" t="s">
        <v>849</v>
      </c>
      <c r="D335">
        <v>2</v>
      </c>
      <c r="E335">
        <v>1</v>
      </c>
      <c r="F335">
        <v>800</v>
      </c>
      <c r="G335" s="14">
        <v>45953</v>
      </c>
      <c r="H335" s="14">
        <v>45981</v>
      </c>
      <c r="I335">
        <v>29</v>
      </c>
      <c r="J335" s="15">
        <v>1358</v>
      </c>
      <c r="K335" s="16">
        <f t="shared" si="10"/>
        <v>1.6975</v>
      </c>
      <c r="L335" s="15">
        <v>1132</v>
      </c>
      <c r="M335" s="16">
        <f t="shared" si="11"/>
        <v>1.415</v>
      </c>
      <c r="N335" t="s">
        <v>202</v>
      </c>
    </row>
    <row r="336" spans="1:14" x14ac:dyDescent="0.25">
      <c r="A336" t="s">
        <v>451</v>
      </c>
      <c r="B336" t="s">
        <v>460</v>
      </c>
      <c r="C336" t="s">
        <v>850</v>
      </c>
      <c r="D336">
        <v>1</v>
      </c>
      <c r="E336">
        <v>1</v>
      </c>
      <c r="F336">
        <v>726</v>
      </c>
      <c r="G336" s="14">
        <v>45981</v>
      </c>
      <c r="H336" s="14">
        <v>45982</v>
      </c>
      <c r="I336">
        <v>2</v>
      </c>
      <c r="J336" s="15">
        <v>1000</v>
      </c>
      <c r="K336" s="16">
        <f t="shared" si="10"/>
        <v>1.3774104683195592</v>
      </c>
      <c r="L336" s="15">
        <v>833</v>
      </c>
      <c r="M336" s="16">
        <f t="shared" si="11"/>
        <v>1.1473829201101928</v>
      </c>
      <c r="N336" t="s">
        <v>202</v>
      </c>
    </row>
    <row r="337" spans="1:14" x14ac:dyDescent="0.25">
      <c r="A337" t="s">
        <v>451</v>
      </c>
      <c r="B337" t="s">
        <v>452</v>
      </c>
      <c r="C337" t="s">
        <v>851</v>
      </c>
      <c r="D337">
        <v>2</v>
      </c>
      <c r="E337">
        <v>2</v>
      </c>
      <c r="F337">
        <v>903</v>
      </c>
      <c r="G337" s="14">
        <v>45826</v>
      </c>
      <c r="H337" s="14">
        <v>45982</v>
      </c>
      <c r="I337">
        <v>157</v>
      </c>
      <c r="J337" s="15">
        <v>1200</v>
      </c>
      <c r="K337" s="16">
        <f t="shared" si="10"/>
        <v>1.3289036544850499</v>
      </c>
      <c r="L337" s="15">
        <v>1000</v>
      </c>
      <c r="M337" s="16">
        <f t="shared" si="11"/>
        <v>1.1074197120708749</v>
      </c>
      <c r="N337" t="s">
        <v>202</v>
      </c>
    </row>
    <row r="338" spans="1:14" x14ac:dyDescent="0.25">
      <c r="A338" t="s">
        <v>465</v>
      </c>
      <c r="B338" t="s">
        <v>672</v>
      </c>
      <c r="C338" t="s">
        <v>852</v>
      </c>
      <c r="D338">
        <v>1</v>
      </c>
      <c r="E338">
        <v>1</v>
      </c>
      <c r="F338">
        <v>532</v>
      </c>
      <c r="G338" s="14">
        <v>45958</v>
      </c>
      <c r="H338" s="14">
        <v>45982</v>
      </c>
      <c r="I338">
        <v>25</v>
      </c>
      <c r="J338" s="15">
        <v>1080</v>
      </c>
      <c r="K338" s="16">
        <f t="shared" si="10"/>
        <v>2.030075187969925</v>
      </c>
      <c r="L338" s="15">
        <v>947</v>
      </c>
      <c r="M338" s="16">
        <f t="shared" si="11"/>
        <v>1.7800751879699248</v>
      </c>
      <c r="N338" t="s">
        <v>202</v>
      </c>
    </row>
    <row r="339" spans="1:14" x14ac:dyDescent="0.25">
      <c r="A339" t="s">
        <v>465</v>
      </c>
      <c r="B339" t="s">
        <v>822</v>
      </c>
      <c r="C339" t="s">
        <v>853</v>
      </c>
      <c r="D339">
        <v>2</v>
      </c>
      <c r="E339">
        <v>1</v>
      </c>
      <c r="F339">
        <v>912</v>
      </c>
      <c r="G339" s="14">
        <v>45974</v>
      </c>
      <c r="H339" s="14">
        <v>45982</v>
      </c>
      <c r="I339">
        <v>9</v>
      </c>
      <c r="J339" s="15">
        <v>1245</v>
      </c>
      <c r="K339" s="16">
        <f t="shared" si="10"/>
        <v>1.3651315789473684</v>
      </c>
      <c r="L339" s="15">
        <v>1068</v>
      </c>
      <c r="M339" s="16">
        <f t="shared" si="11"/>
        <v>1.1710526315789473</v>
      </c>
      <c r="N339" t="s">
        <v>202</v>
      </c>
    </row>
    <row r="340" spans="1:14" x14ac:dyDescent="0.25">
      <c r="A340" t="s">
        <v>483</v>
      </c>
      <c r="B340" t="s">
        <v>484</v>
      </c>
      <c r="C340" t="s">
        <v>854</v>
      </c>
      <c r="D340">
        <v>2</v>
      </c>
      <c r="E340">
        <v>2</v>
      </c>
      <c r="F340">
        <v>991</v>
      </c>
      <c r="G340" s="14">
        <v>45911</v>
      </c>
      <c r="H340" s="14">
        <v>45982</v>
      </c>
      <c r="I340">
        <v>72</v>
      </c>
      <c r="J340" s="15">
        <v>1083</v>
      </c>
      <c r="K340" s="16">
        <f t="shared" si="10"/>
        <v>1.0928355196770938</v>
      </c>
      <c r="L340" s="15">
        <v>1083</v>
      </c>
      <c r="M340" s="16">
        <f t="shared" si="11"/>
        <v>1.0928355196770938</v>
      </c>
      <c r="N340" t="s">
        <v>202</v>
      </c>
    </row>
    <row r="341" spans="1:14" x14ac:dyDescent="0.25">
      <c r="A341" t="s">
        <v>465</v>
      </c>
      <c r="B341" t="s">
        <v>551</v>
      </c>
      <c r="C341" t="s">
        <v>855</v>
      </c>
      <c r="D341">
        <v>1</v>
      </c>
      <c r="E341">
        <v>1</v>
      </c>
      <c r="F341">
        <v>757</v>
      </c>
      <c r="G341" s="14">
        <v>45974</v>
      </c>
      <c r="H341" s="14">
        <v>45983</v>
      </c>
      <c r="I341">
        <v>10</v>
      </c>
      <c r="J341" s="15">
        <v>1316</v>
      </c>
      <c r="K341" s="16">
        <f t="shared" si="10"/>
        <v>1.7384412153236459</v>
      </c>
      <c r="L341" s="15">
        <v>1154</v>
      </c>
      <c r="M341" s="16">
        <f t="shared" si="11"/>
        <v>1.52443857331572</v>
      </c>
      <c r="N341" t="s">
        <v>202</v>
      </c>
    </row>
    <row r="342" spans="1:14" x14ac:dyDescent="0.25">
      <c r="A342" t="s">
        <v>451</v>
      </c>
      <c r="B342" t="s">
        <v>725</v>
      </c>
      <c r="C342" t="s">
        <v>856</v>
      </c>
      <c r="D342">
        <v>1</v>
      </c>
      <c r="E342">
        <v>1</v>
      </c>
      <c r="F342">
        <v>615</v>
      </c>
      <c r="G342" s="14">
        <v>45629</v>
      </c>
      <c r="H342" s="14">
        <v>45985</v>
      </c>
      <c r="I342">
        <v>357</v>
      </c>
      <c r="J342" s="15">
        <v>1000</v>
      </c>
      <c r="K342" s="16">
        <f t="shared" si="10"/>
        <v>1.6260162601626016</v>
      </c>
      <c r="L342" s="15">
        <v>833</v>
      </c>
      <c r="M342" s="16">
        <f t="shared" si="11"/>
        <v>1.3544715447154472</v>
      </c>
      <c r="N342" t="s">
        <v>202</v>
      </c>
    </row>
    <row r="343" spans="1:14" x14ac:dyDescent="0.25">
      <c r="A343" t="s">
        <v>462</v>
      </c>
      <c r="B343" t="s">
        <v>463</v>
      </c>
      <c r="C343" t="s">
        <v>857</v>
      </c>
      <c r="D343">
        <v>2</v>
      </c>
      <c r="E343">
        <v>2</v>
      </c>
      <c r="F343">
        <v>958</v>
      </c>
      <c r="G343" s="14">
        <v>45875</v>
      </c>
      <c r="H343" s="14">
        <v>45986</v>
      </c>
      <c r="I343">
        <v>112</v>
      </c>
      <c r="J343" s="15">
        <v>1825</v>
      </c>
      <c r="K343" s="16">
        <f t="shared" si="10"/>
        <v>1.9050104384133613</v>
      </c>
      <c r="L343" s="15">
        <v>1369</v>
      </c>
      <c r="M343" s="16">
        <f t="shared" si="11"/>
        <v>1.42901878914405</v>
      </c>
      <c r="N343" t="s">
        <v>202</v>
      </c>
    </row>
    <row r="344" spans="1:14" x14ac:dyDescent="0.25">
      <c r="A344" t="s">
        <v>486</v>
      </c>
      <c r="B344" t="s">
        <v>591</v>
      </c>
      <c r="C344" t="s">
        <v>858</v>
      </c>
      <c r="D344">
        <v>2</v>
      </c>
      <c r="E344">
        <v>1</v>
      </c>
      <c r="F344">
        <v>860</v>
      </c>
      <c r="G344" s="14">
        <v>45965</v>
      </c>
      <c r="H344" s="14">
        <v>45986</v>
      </c>
      <c r="I344">
        <v>22</v>
      </c>
      <c r="J344" s="15">
        <v>1479</v>
      </c>
      <c r="K344" s="16">
        <f t="shared" si="10"/>
        <v>1.7197674418604652</v>
      </c>
      <c r="L344" s="15">
        <v>1251</v>
      </c>
      <c r="M344" s="16">
        <f t="shared" si="11"/>
        <v>1.4546511627906977</v>
      </c>
      <c r="N344" t="s">
        <v>202</v>
      </c>
    </row>
    <row r="345" spans="1:14" x14ac:dyDescent="0.25">
      <c r="A345" t="s">
        <v>457</v>
      </c>
      <c r="B345" t="s">
        <v>562</v>
      </c>
      <c r="C345" t="s">
        <v>859</v>
      </c>
      <c r="D345">
        <v>2</v>
      </c>
      <c r="E345">
        <v>2</v>
      </c>
      <c r="F345">
        <v>1001</v>
      </c>
      <c r="G345" s="14">
        <v>45967</v>
      </c>
      <c r="H345" s="14">
        <v>45986</v>
      </c>
      <c r="I345">
        <v>20</v>
      </c>
      <c r="J345" s="15">
        <v>1310</v>
      </c>
      <c r="K345" s="16">
        <f t="shared" si="10"/>
        <v>1.3086913086913088</v>
      </c>
      <c r="L345" s="15">
        <v>1108</v>
      </c>
      <c r="M345" s="16">
        <f t="shared" si="11"/>
        <v>1.1068931068931069</v>
      </c>
      <c r="N345" t="s">
        <v>202</v>
      </c>
    </row>
    <row r="346" spans="1:14" x14ac:dyDescent="0.25">
      <c r="A346" t="s">
        <v>465</v>
      </c>
      <c r="B346" t="s">
        <v>860</v>
      </c>
      <c r="C346" t="s">
        <v>861</v>
      </c>
      <c r="D346">
        <v>2</v>
      </c>
      <c r="E346">
        <v>2</v>
      </c>
      <c r="F346">
        <v>1081</v>
      </c>
      <c r="G346" s="14">
        <v>45964</v>
      </c>
      <c r="H346" s="14">
        <v>45986</v>
      </c>
      <c r="I346">
        <v>23</v>
      </c>
      <c r="J346" s="15">
        <v>1360</v>
      </c>
      <c r="K346" s="16">
        <f t="shared" si="10"/>
        <v>1.2580943570767809</v>
      </c>
      <c r="L346" s="15">
        <v>1151</v>
      </c>
      <c r="M346" s="16">
        <f t="shared" si="11"/>
        <v>1.064754856614246</v>
      </c>
      <c r="N346" t="s">
        <v>202</v>
      </c>
    </row>
    <row r="347" spans="1:14" x14ac:dyDescent="0.25">
      <c r="A347" t="s">
        <v>483</v>
      </c>
      <c r="B347" t="s">
        <v>484</v>
      </c>
      <c r="C347" t="s">
        <v>862</v>
      </c>
      <c r="D347">
        <v>2</v>
      </c>
      <c r="E347">
        <v>2</v>
      </c>
      <c r="F347">
        <v>991</v>
      </c>
      <c r="G347" s="14">
        <v>45972</v>
      </c>
      <c r="H347" s="14">
        <v>45986</v>
      </c>
      <c r="I347">
        <v>15</v>
      </c>
      <c r="J347" s="15">
        <v>1292</v>
      </c>
      <c r="K347" s="16">
        <f t="shared" si="10"/>
        <v>1.3037336024217963</v>
      </c>
      <c r="L347" s="15">
        <v>1292</v>
      </c>
      <c r="M347" s="16">
        <f t="shared" si="11"/>
        <v>1.3037336024217963</v>
      </c>
      <c r="N347" t="s">
        <v>202</v>
      </c>
    </row>
    <row r="348" spans="1:14" x14ac:dyDescent="0.25">
      <c r="A348" t="s">
        <v>451</v>
      </c>
      <c r="B348" t="s">
        <v>725</v>
      </c>
      <c r="C348" t="s">
        <v>863</v>
      </c>
      <c r="D348">
        <v>1</v>
      </c>
      <c r="E348">
        <v>1</v>
      </c>
      <c r="F348">
        <v>615</v>
      </c>
      <c r="G348" s="14">
        <v>45733</v>
      </c>
      <c r="H348" s="14">
        <v>45987</v>
      </c>
      <c r="I348">
        <v>255</v>
      </c>
      <c r="J348" s="15">
        <v>1000</v>
      </c>
      <c r="K348" s="16">
        <f t="shared" si="10"/>
        <v>1.6260162601626016</v>
      </c>
      <c r="L348" s="15">
        <v>846</v>
      </c>
      <c r="M348" s="16">
        <f t="shared" si="11"/>
        <v>1.3756097560975609</v>
      </c>
      <c r="N348" t="s">
        <v>202</v>
      </c>
    </row>
    <row r="349" spans="1:14" x14ac:dyDescent="0.25">
      <c r="A349" t="s">
        <v>472</v>
      </c>
      <c r="B349" t="s">
        <v>473</v>
      </c>
      <c r="C349" t="s">
        <v>864</v>
      </c>
      <c r="D349">
        <v>2</v>
      </c>
      <c r="E349">
        <v>1</v>
      </c>
      <c r="F349">
        <v>800</v>
      </c>
      <c r="G349" s="14">
        <v>45980</v>
      </c>
      <c r="H349" s="14">
        <v>45987</v>
      </c>
      <c r="I349">
        <v>8</v>
      </c>
      <c r="J349" s="15">
        <v>1598</v>
      </c>
      <c r="K349" s="16">
        <f t="shared" si="10"/>
        <v>1.9975000000000001</v>
      </c>
      <c r="L349" s="15">
        <v>1332</v>
      </c>
      <c r="M349" s="16">
        <f t="shared" si="11"/>
        <v>1.665</v>
      </c>
      <c r="N349" t="s">
        <v>202</v>
      </c>
    </row>
    <row r="350" spans="1:14" x14ac:dyDescent="0.25">
      <c r="A350" t="s">
        <v>451</v>
      </c>
      <c r="B350" t="s">
        <v>460</v>
      </c>
      <c r="C350" t="s">
        <v>865</v>
      </c>
      <c r="D350">
        <v>1</v>
      </c>
      <c r="E350">
        <v>1</v>
      </c>
      <c r="F350">
        <v>726</v>
      </c>
      <c r="G350" s="14">
        <v>45856</v>
      </c>
      <c r="H350" s="14">
        <v>45988</v>
      </c>
      <c r="I350">
        <v>133</v>
      </c>
      <c r="J350" s="15">
        <v>1000</v>
      </c>
      <c r="K350" s="16">
        <f t="shared" si="10"/>
        <v>1.3774104683195592</v>
      </c>
      <c r="L350" s="15">
        <v>846</v>
      </c>
      <c r="M350" s="16">
        <f t="shared" si="11"/>
        <v>1.165289256198347</v>
      </c>
      <c r="N350" t="s">
        <v>202</v>
      </c>
    </row>
    <row r="351" spans="1:14" x14ac:dyDescent="0.25">
      <c r="A351" t="s">
        <v>462</v>
      </c>
      <c r="B351" t="s">
        <v>475</v>
      </c>
      <c r="C351" t="s">
        <v>866</v>
      </c>
      <c r="D351">
        <v>2</v>
      </c>
      <c r="E351">
        <v>2</v>
      </c>
      <c r="F351">
        <v>1029</v>
      </c>
      <c r="G351" s="14">
        <v>45974</v>
      </c>
      <c r="H351" s="14">
        <v>45988</v>
      </c>
      <c r="I351">
        <v>15</v>
      </c>
      <c r="J351" s="15">
        <v>1600</v>
      </c>
      <c r="K351" s="16">
        <f t="shared" si="10"/>
        <v>1.554907677356657</v>
      </c>
      <c r="L351" s="15">
        <v>1200</v>
      </c>
      <c r="M351" s="16">
        <f t="shared" si="11"/>
        <v>1.1661807580174928</v>
      </c>
      <c r="N351" t="s">
        <v>202</v>
      </c>
    </row>
    <row r="352" spans="1:14" x14ac:dyDescent="0.25">
      <c r="A352" t="s">
        <v>462</v>
      </c>
      <c r="B352" t="s">
        <v>475</v>
      </c>
      <c r="C352" t="s">
        <v>694</v>
      </c>
      <c r="D352">
        <v>2</v>
      </c>
      <c r="E352">
        <v>2</v>
      </c>
      <c r="F352">
        <v>1029</v>
      </c>
      <c r="G352" s="14">
        <v>45974</v>
      </c>
      <c r="H352" s="14">
        <v>45988</v>
      </c>
      <c r="I352">
        <v>15</v>
      </c>
      <c r="J352" s="15">
        <v>1750</v>
      </c>
      <c r="K352" s="16">
        <f t="shared" si="10"/>
        <v>1.7006802721088434</v>
      </c>
      <c r="L352" s="15">
        <v>1312</v>
      </c>
      <c r="M352" s="16">
        <f t="shared" si="11"/>
        <v>1.2750242954324587</v>
      </c>
      <c r="N352" t="s">
        <v>202</v>
      </c>
    </row>
    <row r="353" spans="1:14" x14ac:dyDescent="0.25">
      <c r="A353" t="s">
        <v>457</v>
      </c>
      <c r="B353" t="s">
        <v>562</v>
      </c>
      <c r="C353" t="s">
        <v>867</v>
      </c>
      <c r="D353">
        <v>2</v>
      </c>
      <c r="E353">
        <v>2</v>
      </c>
      <c r="F353">
        <v>1001</v>
      </c>
      <c r="G353" s="14">
        <v>45790</v>
      </c>
      <c r="H353" s="14">
        <v>45988</v>
      </c>
      <c r="I353">
        <v>199</v>
      </c>
      <c r="J353" s="15">
        <v>1295</v>
      </c>
      <c r="K353" s="16">
        <f t="shared" si="10"/>
        <v>1.2937062937062938</v>
      </c>
      <c r="L353" s="15">
        <v>1096</v>
      </c>
      <c r="M353" s="16">
        <f t="shared" si="11"/>
        <v>1.0949050949050949</v>
      </c>
      <c r="N353" t="s">
        <v>202</v>
      </c>
    </row>
    <row r="354" spans="1:14" x14ac:dyDescent="0.25">
      <c r="A354" t="s">
        <v>486</v>
      </c>
      <c r="B354" t="s">
        <v>659</v>
      </c>
      <c r="C354" t="s">
        <v>868</v>
      </c>
      <c r="D354">
        <v>2</v>
      </c>
      <c r="E354">
        <v>1</v>
      </c>
      <c r="F354">
        <v>860</v>
      </c>
      <c r="G354" s="14">
        <v>45947</v>
      </c>
      <c r="H354" s="14">
        <v>45990</v>
      </c>
      <c r="I354">
        <v>44</v>
      </c>
      <c r="J354" s="15">
        <v>1304</v>
      </c>
      <c r="K354" s="16">
        <f t="shared" si="10"/>
        <v>1.5162790697674418</v>
      </c>
      <c r="L354" s="15">
        <v>1103</v>
      </c>
      <c r="M354" s="16">
        <f t="shared" si="11"/>
        <v>1.2825581395348837</v>
      </c>
      <c r="N354" t="s">
        <v>202</v>
      </c>
    </row>
    <row r="355" spans="1:14" x14ac:dyDescent="0.25">
      <c r="A355" t="s">
        <v>451</v>
      </c>
      <c r="B355" t="s">
        <v>452</v>
      </c>
      <c r="C355" t="s">
        <v>869</v>
      </c>
      <c r="D355">
        <v>2</v>
      </c>
      <c r="E355">
        <v>2</v>
      </c>
      <c r="F355">
        <v>903</v>
      </c>
      <c r="G355" s="14">
        <v>45973</v>
      </c>
      <c r="H355" s="14">
        <v>45991</v>
      </c>
      <c r="I355">
        <v>19</v>
      </c>
      <c r="J355" s="15">
        <v>1200</v>
      </c>
      <c r="K355" s="16">
        <f t="shared" si="10"/>
        <v>1.3289036544850499</v>
      </c>
      <c r="L355" s="15">
        <v>1015</v>
      </c>
      <c r="M355" s="16">
        <f t="shared" si="11"/>
        <v>1.124031007751938</v>
      </c>
      <c r="N355" t="s">
        <v>202</v>
      </c>
    </row>
    <row r="356" spans="1:14" x14ac:dyDescent="0.25">
      <c r="A356" t="s">
        <v>465</v>
      </c>
      <c r="B356" t="s">
        <v>567</v>
      </c>
      <c r="C356" t="s">
        <v>870</v>
      </c>
      <c r="D356">
        <v>1</v>
      </c>
      <c r="E356">
        <v>1</v>
      </c>
      <c r="F356">
        <v>757</v>
      </c>
      <c r="G356" s="14">
        <v>45876</v>
      </c>
      <c r="H356" s="14">
        <v>45991</v>
      </c>
      <c r="I356">
        <v>116</v>
      </c>
      <c r="J356" s="15">
        <v>1216</v>
      </c>
      <c r="K356" s="16">
        <f t="shared" si="10"/>
        <v>1.6063408190224571</v>
      </c>
      <c r="L356" s="15">
        <v>1066</v>
      </c>
      <c r="M356" s="16">
        <f t="shared" si="11"/>
        <v>1.4081902245706737</v>
      </c>
      <c r="N356" t="s">
        <v>202</v>
      </c>
    </row>
    <row r="357" spans="1:14" x14ac:dyDescent="0.25">
      <c r="A357" t="s">
        <v>465</v>
      </c>
      <c r="B357" t="s">
        <v>822</v>
      </c>
      <c r="C357" t="s">
        <v>871</v>
      </c>
      <c r="D357">
        <v>2</v>
      </c>
      <c r="E357">
        <v>1</v>
      </c>
      <c r="F357">
        <v>912</v>
      </c>
      <c r="G357" s="14">
        <v>45950</v>
      </c>
      <c r="H357" s="14">
        <v>45991</v>
      </c>
      <c r="I357">
        <v>42</v>
      </c>
      <c r="J357" s="15">
        <v>1245</v>
      </c>
      <c r="K357" s="16">
        <f t="shared" si="10"/>
        <v>1.3651315789473684</v>
      </c>
      <c r="L357" s="15">
        <v>1068</v>
      </c>
      <c r="M357" s="16">
        <f t="shared" si="11"/>
        <v>1.1710526315789473</v>
      </c>
      <c r="N357" t="s">
        <v>202</v>
      </c>
    </row>
    <row r="358" spans="1:14" x14ac:dyDescent="0.25">
      <c r="A358" t="s">
        <v>451</v>
      </c>
      <c r="B358" t="s">
        <v>468</v>
      </c>
      <c r="C358" t="s">
        <v>872</v>
      </c>
      <c r="D358">
        <v>2</v>
      </c>
      <c r="E358">
        <v>2</v>
      </c>
      <c r="F358">
        <v>810</v>
      </c>
      <c r="G358" s="14">
        <v>45876</v>
      </c>
      <c r="H358" s="14">
        <v>45992</v>
      </c>
      <c r="I358">
        <v>117</v>
      </c>
      <c r="J358" s="15">
        <v>1200</v>
      </c>
      <c r="K358" s="16">
        <f t="shared" si="10"/>
        <v>1.4814814814814814</v>
      </c>
      <c r="L358" s="15">
        <v>1015</v>
      </c>
      <c r="M358" s="16">
        <f t="shared" si="11"/>
        <v>1.2530864197530864</v>
      </c>
      <c r="N358" t="s">
        <v>219</v>
      </c>
    </row>
    <row r="359" spans="1:14" x14ac:dyDescent="0.25">
      <c r="A359" t="s">
        <v>483</v>
      </c>
      <c r="B359" t="s">
        <v>541</v>
      </c>
      <c r="C359" t="s">
        <v>873</v>
      </c>
      <c r="D359">
        <v>1</v>
      </c>
      <c r="E359">
        <v>1</v>
      </c>
      <c r="F359">
        <v>702</v>
      </c>
      <c r="G359" s="14">
        <v>45905</v>
      </c>
      <c r="H359" s="14">
        <v>45993</v>
      </c>
      <c r="I359">
        <v>89</v>
      </c>
      <c r="J359" s="15">
        <v>755</v>
      </c>
      <c r="K359" s="16">
        <f t="shared" si="10"/>
        <v>1.0754985754985755</v>
      </c>
      <c r="L359" s="15">
        <v>755</v>
      </c>
      <c r="M359" s="16">
        <f t="shared" si="11"/>
        <v>1.0754985754985755</v>
      </c>
      <c r="N359" t="s">
        <v>219</v>
      </c>
    </row>
    <row r="360" spans="1:14" x14ac:dyDescent="0.25">
      <c r="A360" t="s">
        <v>486</v>
      </c>
      <c r="B360" t="s">
        <v>513</v>
      </c>
      <c r="C360" t="s">
        <v>874</v>
      </c>
      <c r="D360">
        <v>2</v>
      </c>
      <c r="E360">
        <v>2</v>
      </c>
      <c r="F360">
        <v>1000</v>
      </c>
      <c r="G360" s="14">
        <v>45882</v>
      </c>
      <c r="H360" s="14">
        <v>45994</v>
      </c>
      <c r="I360">
        <v>113</v>
      </c>
      <c r="J360" s="15">
        <v>1240</v>
      </c>
      <c r="K360" s="16">
        <f t="shared" si="10"/>
        <v>1.24</v>
      </c>
      <c r="L360" s="15">
        <v>1049</v>
      </c>
      <c r="M360" s="16">
        <f t="shared" si="11"/>
        <v>1.0489999999999999</v>
      </c>
      <c r="N360" t="s">
        <v>219</v>
      </c>
    </row>
    <row r="361" spans="1:14" x14ac:dyDescent="0.25">
      <c r="A361" t="s">
        <v>486</v>
      </c>
      <c r="B361" t="s">
        <v>515</v>
      </c>
      <c r="C361" t="s">
        <v>875</v>
      </c>
      <c r="D361">
        <v>2</v>
      </c>
      <c r="E361">
        <v>2</v>
      </c>
      <c r="F361">
        <v>1000</v>
      </c>
      <c r="G361" s="14">
        <v>45968</v>
      </c>
      <c r="H361" s="14">
        <v>45994</v>
      </c>
      <c r="I361">
        <v>27</v>
      </c>
      <c r="J361" s="15">
        <v>1360</v>
      </c>
      <c r="K361" s="16">
        <f t="shared" si="10"/>
        <v>1.36</v>
      </c>
      <c r="L361" s="15">
        <v>1151</v>
      </c>
      <c r="M361" s="16">
        <f t="shared" si="11"/>
        <v>1.151</v>
      </c>
      <c r="N361" t="s">
        <v>219</v>
      </c>
    </row>
    <row r="362" spans="1:14" x14ac:dyDescent="0.25">
      <c r="A362" t="s">
        <v>457</v>
      </c>
      <c r="B362" t="s">
        <v>683</v>
      </c>
      <c r="C362" t="s">
        <v>876</v>
      </c>
      <c r="D362">
        <v>1</v>
      </c>
      <c r="E362">
        <v>1</v>
      </c>
      <c r="F362">
        <v>762</v>
      </c>
      <c r="G362" s="14">
        <v>45967</v>
      </c>
      <c r="H362" s="14">
        <v>45994</v>
      </c>
      <c r="I362">
        <v>28</v>
      </c>
      <c r="J362" s="15">
        <v>1224</v>
      </c>
      <c r="K362" s="16">
        <f t="shared" si="10"/>
        <v>1.6062992125984252</v>
      </c>
      <c r="L362" s="15">
        <v>1036</v>
      </c>
      <c r="M362" s="16">
        <f t="shared" si="11"/>
        <v>1.3595800524934383</v>
      </c>
      <c r="N362" t="s">
        <v>219</v>
      </c>
    </row>
    <row r="363" spans="1:14" x14ac:dyDescent="0.25">
      <c r="A363" t="s">
        <v>483</v>
      </c>
      <c r="B363" t="s">
        <v>541</v>
      </c>
      <c r="C363" t="s">
        <v>877</v>
      </c>
      <c r="D363">
        <v>1</v>
      </c>
      <c r="E363">
        <v>1</v>
      </c>
      <c r="F363">
        <v>702</v>
      </c>
      <c r="G363" s="14">
        <v>45993</v>
      </c>
      <c r="H363" s="14">
        <v>45994</v>
      </c>
      <c r="I363">
        <v>2</v>
      </c>
      <c r="J363" s="15">
        <v>879</v>
      </c>
      <c r="K363" s="16">
        <f t="shared" si="10"/>
        <v>1.2521367521367521</v>
      </c>
      <c r="L363" s="15">
        <v>879</v>
      </c>
      <c r="M363" s="16">
        <f t="shared" si="11"/>
        <v>1.2521367521367521</v>
      </c>
      <c r="N363" t="s">
        <v>219</v>
      </c>
    </row>
    <row r="364" spans="1:14" x14ac:dyDescent="0.25">
      <c r="A364" t="s">
        <v>451</v>
      </c>
      <c r="B364" t="s">
        <v>533</v>
      </c>
      <c r="C364" t="s">
        <v>878</v>
      </c>
      <c r="D364">
        <v>1</v>
      </c>
      <c r="E364">
        <v>1</v>
      </c>
      <c r="F364">
        <v>600</v>
      </c>
      <c r="G364" s="14">
        <v>45881</v>
      </c>
      <c r="H364" s="14">
        <v>45995</v>
      </c>
      <c r="I364">
        <v>115</v>
      </c>
      <c r="J364" s="15">
        <v>1000</v>
      </c>
      <c r="K364" s="16">
        <f t="shared" si="10"/>
        <v>1.6666666666666667</v>
      </c>
      <c r="L364" s="15">
        <v>846</v>
      </c>
      <c r="M364" s="16">
        <f t="shared" si="11"/>
        <v>1.41</v>
      </c>
      <c r="N364" t="s">
        <v>219</v>
      </c>
    </row>
    <row r="365" spans="1:14" x14ac:dyDescent="0.25">
      <c r="A365" t="s">
        <v>451</v>
      </c>
      <c r="B365" t="s">
        <v>452</v>
      </c>
      <c r="C365" t="s">
        <v>879</v>
      </c>
      <c r="D365">
        <v>2</v>
      </c>
      <c r="E365">
        <v>2</v>
      </c>
      <c r="F365">
        <v>903</v>
      </c>
      <c r="G365" s="14">
        <v>45979</v>
      </c>
      <c r="H365" s="14">
        <v>45995</v>
      </c>
      <c r="I365">
        <v>17</v>
      </c>
      <c r="J365" s="15">
        <v>1200</v>
      </c>
      <c r="K365" s="16">
        <f t="shared" si="10"/>
        <v>1.3289036544850499</v>
      </c>
      <c r="L365" s="15">
        <v>1015</v>
      </c>
      <c r="M365" s="16">
        <f t="shared" si="11"/>
        <v>1.124031007751938</v>
      </c>
      <c r="N365" t="s">
        <v>219</v>
      </c>
    </row>
    <row r="366" spans="1:14" x14ac:dyDescent="0.25">
      <c r="A366" t="s">
        <v>486</v>
      </c>
      <c r="B366" t="s">
        <v>615</v>
      </c>
      <c r="C366" t="s">
        <v>880</v>
      </c>
      <c r="D366">
        <v>2</v>
      </c>
      <c r="E366">
        <v>2</v>
      </c>
      <c r="F366">
        <v>1000</v>
      </c>
      <c r="G366" s="14">
        <v>45779</v>
      </c>
      <c r="H366" s="14">
        <v>45995</v>
      </c>
      <c r="I366">
        <v>217</v>
      </c>
      <c r="J366" s="15">
        <v>1365</v>
      </c>
      <c r="K366" s="16">
        <f t="shared" si="10"/>
        <v>1.365</v>
      </c>
      <c r="L366" s="15">
        <v>1155</v>
      </c>
      <c r="M366" s="16">
        <f t="shared" si="11"/>
        <v>1.155</v>
      </c>
      <c r="N366" t="s">
        <v>219</v>
      </c>
    </row>
    <row r="367" spans="1:14" x14ac:dyDescent="0.25">
      <c r="A367" t="s">
        <v>465</v>
      </c>
      <c r="B367" t="s">
        <v>781</v>
      </c>
      <c r="C367" t="s">
        <v>881</v>
      </c>
      <c r="D367">
        <v>3</v>
      </c>
      <c r="E367">
        <v>2</v>
      </c>
      <c r="F367">
        <v>1181</v>
      </c>
      <c r="G367" s="14">
        <v>45945</v>
      </c>
      <c r="H367" s="14">
        <v>45995</v>
      </c>
      <c r="I367">
        <v>51</v>
      </c>
      <c r="J367" s="15">
        <v>1704</v>
      </c>
      <c r="K367" s="16">
        <f t="shared" si="10"/>
        <v>1.4428450465707028</v>
      </c>
      <c r="L367" s="15">
        <v>1479</v>
      </c>
      <c r="M367" s="16">
        <f t="shared" si="11"/>
        <v>1.2523285351397122</v>
      </c>
      <c r="N367" t="s">
        <v>219</v>
      </c>
    </row>
    <row r="368" spans="1:14" x14ac:dyDescent="0.25">
      <c r="A368" t="s">
        <v>451</v>
      </c>
      <c r="B368" t="s">
        <v>460</v>
      </c>
      <c r="C368" t="s">
        <v>882</v>
      </c>
      <c r="D368">
        <v>1</v>
      </c>
      <c r="E368">
        <v>1</v>
      </c>
      <c r="F368">
        <v>726</v>
      </c>
      <c r="G368" s="14">
        <v>45966</v>
      </c>
      <c r="H368" s="14">
        <v>45996</v>
      </c>
      <c r="I368">
        <v>31</v>
      </c>
      <c r="J368" s="15">
        <v>1000</v>
      </c>
      <c r="K368" s="16">
        <f t="shared" si="10"/>
        <v>1.3774104683195592</v>
      </c>
      <c r="L368" s="15">
        <v>846</v>
      </c>
      <c r="M368" s="16">
        <f t="shared" si="11"/>
        <v>1.165289256198347</v>
      </c>
      <c r="N368" t="s">
        <v>219</v>
      </c>
    </row>
    <row r="369" spans="1:14" x14ac:dyDescent="0.25">
      <c r="A369" t="s">
        <v>462</v>
      </c>
      <c r="B369" t="s">
        <v>553</v>
      </c>
      <c r="C369" t="s">
        <v>883</v>
      </c>
      <c r="D369">
        <v>3</v>
      </c>
      <c r="E369">
        <v>2</v>
      </c>
      <c r="F369">
        <v>1166</v>
      </c>
      <c r="G369" s="14">
        <v>45958</v>
      </c>
      <c r="H369" s="14">
        <v>45996</v>
      </c>
      <c r="I369">
        <v>39</v>
      </c>
      <c r="J369" s="15">
        <v>1875</v>
      </c>
      <c r="K369" s="16">
        <f t="shared" si="10"/>
        <v>1.6080617495711835</v>
      </c>
      <c r="L369" s="15">
        <v>1406</v>
      </c>
      <c r="M369" s="16">
        <f t="shared" si="11"/>
        <v>1.2058319039451115</v>
      </c>
      <c r="N369" t="s">
        <v>219</v>
      </c>
    </row>
    <row r="370" spans="1:14" x14ac:dyDescent="0.25">
      <c r="A370" t="s">
        <v>454</v>
      </c>
      <c r="B370" t="s">
        <v>455</v>
      </c>
      <c r="C370" t="s">
        <v>884</v>
      </c>
      <c r="D370">
        <v>2</v>
      </c>
      <c r="E370">
        <v>2</v>
      </c>
      <c r="F370">
        <v>1001</v>
      </c>
      <c r="G370" s="14">
        <v>45945</v>
      </c>
      <c r="H370" s="14">
        <v>45996</v>
      </c>
      <c r="I370">
        <v>52</v>
      </c>
      <c r="J370" s="15">
        <v>1500</v>
      </c>
      <c r="K370" s="16">
        <f t="shared" si="10"/>
        <v>1.4985014985014986</v>
      </c>
      <c r="L370" s="15">
        <v>1500</v>
      </c>
      <c r="M370" s="16">
        <f t="shared" si="11"/>
        <v>1.4985014985014986</v>
      </c>
      <c r="N370" t="s">
        <v>219</v>
      </c>
    </row>
    <row r="371" spans="1:14" x14ac:dyDescent="0.25">
      <c r="A371" t="s">
        <v>483</v>
      </c>
      <c r="B371" t="s">
        <v>484</v>
      </c>
      <c r="C371" t="s">
        <v>885</v>
      </c>
      <c r="D371">
        <v>2</v>
      </c>
      <c r="E371">
        <v>2</v>
      </c>
      <c r="F371">
        <v>991</v>
      </c>
      <c r="G371" s="14">
        <v>45952</v>
      </c>
      <c r="H371" s="14">
        <v>45996</v>
      </c>
      <c r="I371">
        <v>45</v>
      </c>
      <c r="J371" s="15">
        <v>866</v>
      </c>
      <c r="K371" s="16">
        <f t="shared" si="10"/>
        <v>0.87386478304742687</v>
      </c>
      <c r="L371" s="15">
        <v>866</v>
      </c>
      <c r="M371" s="16">
        <f t="shared" si="11"/>
        <v>0.87386478304742687</v>
      </c>
      <c r="N371" t="s">
        <v>219</v>
      </c>
    </row>
    <row r="372" spans="1:14" x14ac:dyDescent="0.25">
      <c r="A372" t="s">
        <v>451</v>
      </c>
      <c r="B372" t="s">
        <v>460</v>
      </c>
      <c r="C372" t="s">
        <v>886</v>
      </c>
      <c r="D372">
        <v>1</v>
      </c>
      <c r="E372">
        <v>1</v>
      </c>
      <c r="F372">
        <v>726</v>
      </c>
      <c r="G372" s="14">
        <v>45703</v>
      </c>
      <c r="H372" s="14">
        <v>45998</v>
      </c>
      <c r="I372">
        <v>296</v>
      </c>
      <c r="J372" s="15">
        <v>1000</v>
      </c>
      <c r="K372" s="16">
        <f t="shared" si="10"/>
        <v>1.3774104683195592</v>
      </c>
      <c r="L372" s="15">
        <v>833</v>
      </c>
      <c r="M372" s="16">
        <f t="shared" si="11"/>
        <v>1.1473829201101928</v>
      </c>
      <c r="N372" t="s">
        <v>219</v>
      </c>
    </row>
    <row r="373" spans="1:14" x14ac:dyDescent="0.25">
      <c r="A373" t="s">
        <v>457</v>
      </c>
      <c r="B373" t="s">
        <v>562</v>
      </c>
      <c r="C373" t="s">
        <v>887</v>
      </c>
      <c r="D373">
        <v>2</v>
      </c>
      <c r="E373">
        <v>2</v>
      </c>
      <c r="F373">
        <v>1001</v>
      </c>
      <c r="G373" s="14">
        <v>45994</v>
      </c>
      <c r="H373" s="14">
        <v>45998</v>
      </c>
      <c r="I373">
        <v>5</v>
      </c>
      <c r="J373" s="15">
        <v>1295</v>
      </c>
      <c r="K373" s="16">
        <f t="shared" si="10"/>
        <v>1.2937062937062938</v>
      </c>
      <c r="L373" s="15">
        <v>1096</v>
      </c>
      <c r="M373" s="16">
        <f t="shared" si="11"/>
        <v>1.0949050949050949</v>
      </c>
      <c r="N373" t="s">
        <v>219</v>
      </c>
    </row>
    <row r="374" spans="1:14" x14ac:dyDescent="0.25">
      <c r="A374" t="s">
        <v>451</v>
      </c>
      <c r="B374" t="s">
        <v>468</v>
      </c>
      <c r="C374" t="s">
        <v>888</v>
      </c>
      <c r="D374">
        <v>2</v>
      </c>
      <c r="E374">
        <v>2</v>
      </c>
      <c r="F374">
        <v>810</v>
      </c>
      <c r="G374" s="14">
        <v>45990</v>
      </c>
      <c r="H374" s="14">
        <v>45999</v>
      </c>
      <c r="I374">
        <v>10</v>
      </c>
      <c r="J374" s="15">
        <v>1200</v>
      </c>
      <c r="K374" s="16">
        <f t="shared" si="10"/>
        <v>1.4814814814814814</v>
      </c>
      <c r="L374" s="15">
        <v>1000</v>
      </c>
      <c r="M374" s="16">
        <f t="shared" si="11"/>
        <v>1.2345679012345678</v>
      </c>
      <c r="N374" t="s">
        <v>219</v>
      </c>
    </row>
    <row r="375" spans="1:14" x14ac:dyDescent="0.25">
      <c r="A375" t="s">
        <v>477</v>
      </c>
      <c r="B375" t="s">
        <v>609</v>
      </c>
      <c r="C375" t="s">
        <v>889</v>
      </c>
      <c r="D375">
        <v>2</v>
      </c>
      <c r="E375">
        <v>2</v>
      </c>
      <c r="F375">
        <v>1050</v>
      </c>
      <c r="G375" s="14">
        <v>45944</v>
      </c>
      <c r="H375" s="14">
        <v>45999</v>
      </c>
      <c r="I375">
        <v>56</v>
      </c>
      <c r="J375" s="15">
        <v>1217</v>
      </c>
      <c r="K375" s="16">
        <f t="shared" si="10"/>
        <v>1.1590476190476191</v>
      </c>
      <c r="L375" s="15">
        <v>1217</v>
      </c>
      <c r="M375" s="16">
        <f t="shared" si="11"/>
        <v>1.1590476190476191</v>
      </c>
      <c r="N375" t="s">
        <v>219</v>
      </c>
    </row>
    <row r="376" spans="1:14" x14ac:dyDescent="0.25">
      <c r="A376" t="s">
        <v>486</v>
      </c>
      <c r="B376" t="s">
        <v>513</v>
      </c>
      <c r="C376" t="s">
        <v>890</v>
      </c>
      <c r="D376">
        <v>2</v>
      </c>
      <c r="E376">
        <v>2</v>
      </c>
      <c r="F376">
        <v>1000</v>
      </c>
      <c r="G376" s="14">
        <v>45903</v>
      </c>
      <c r="H376" s="14">
        <v>45999</v>
      </c>
      <c r="I376">
        <v>97</v>
      </c>
      <c r="J376" s="15">
        <v>1315</v>
      </c>
      <c r="K376" s="16">
        <f t="shared" si="10"/>
        <v>1.3149999999999999</v>
      </c>
      <c r="L376" s="15">
        <v>1113</v>
      </c>
      <c r="M376" s="16">
        <f t="shared" si="11"/>
        <v>1.113</v>
      </c>
      <c r="N376" t="s">
        <v>219</v>
      </c>
    </row>
    <row r="377" spans="1:14" x14ac:dyDescent="0.25">
      <c r="A377" t="s">
        <v>451</v>
      </c>
      <c r="B377" t="s">
        <v>460</v>
      </c>
      <c r="C377" t="s">
        <v>688</v>
      </c>
      <c r="D377">
        <v>1</v>
      </c>
      <c r="E377">
        <v>1</v>
      </c>
      <c r="F377">
        <v>726</v>
      </c>
      <c r="G377" s="14">
        <v>45770</v>
      </c>
      <c r="H377" s="14">
        <v>46000</v>
      </c>
      <c r="I377">
        <v>231</v>
      </c>
      <c r="J377" s="15">
        <v>1000</v>
      </c>
      <c r="K377" s="16">
        <f t="shared" si="10"/>
        <v>1.3774104683195592</v>
      </c>
      <c r="L377" s="15">
        <v>833</v>
      </c>
      <c r="M377" s="16">
        <f t="shared" si="11"/>
        <v>1.1473829201101928</v>
      </c>
      <c r="N377" t="s">
        <v>219</v>
      </c>
    </row>
    <row r="378" spans="1:14" x14ac:dyDescent="0.25">
      <c r="A378" t="s">
        <v>486</v>
      </c>
      <c r="B378" t="s">
        <v>640</v>
      </c>
      <c r="C378" t="s">
        <v>891</v>
      </c>
      <c r="D378">
        <v>1</v>
      </c>
      <c r="E378">
        <v>1</v>
      </c>
      <c r="F378">
        <v>650</v>
      </c>
      <c r="G378" s="14">
        <v>45930</v>
      </c>
      <c r="H378" s="14">
        <v>46000</v>
      </c>
      <c r="I378">
        <v>71</v>
      </c>
      <c r="J378" s="15">
        <v>1280</v>
      </c>
      <c r="K378" s="16">
        <f t="shared" si="10"/>
        <v>1.9692307692307693</v>
      </c>
      <c r="L378" s="15">
        <v>1083</v>
      </c>
      <c r="M378" s="16">
        <f t="shared" si="11"/>
        <v>1.6661538461538461</v>
      </c>
      <c r="N378" t="s">
        <v>219</v>
      </c>
    </row>
    <row r="379" spans="1:14" x14ac:dyDescent="0.25">
      <c r="A379" t="s">
        <v>457</v>
      </c>
      <c r="B379" t="s">
        <v>525</v>
      </c>
      <c r="C379" t="s">
        <v>892</v>
      </c>
      <c r="D379">
        <v>2</v>
      </c>
      <c r="E379">
        <v>2</v>
      </c>
      <c r="F379">
        <v>1001</v>
      </c>
      <c r="G379" s="14">
        <v>45950</v>
      </c>
      <c r="H379" s="14">
        <v>46000</v>
      </c>
      <c r="I379">
        <v>51</v>
      </c>
      <c r="J379" s="15">
        <v>1420</v>
      </c>
      <c r="K379" s="16">
        <f t="shared" si="10"/>
        <v>1.4185814185814185</v>
      </c>
      <c r="L379" s="15">
        <v>1201</v>
      </c>
      <c r="M379" s="16">
        <f t="shared" si="11"/>
        <v>1.1998001998001997</v>
      </c>
      <c r="N379" t="s">
        <v>219</v>
      </c>
    </row>
    <row r="380" spans="1:14" x14ac:dyDescent="0.25">
      <c r="A380" t="s">
        <v>465</v>
      </c>
      <c r="B380" t="s">
        <v>623</v>
      </c>
      <c r="C380" t="s">
        <v>893</v>
      </c>
      <c r="D380">
        <v>2</v>
      </c>
      <c r="E380">
        <v>1</v>
      </c>
      <c r="F380">
        <v>874</v>
      </c>
      <c r="G380" s="14">
        <v>45996</v>
      </c>
      <c r="H380" s="14">
        <v>46000</v>
      </c>
      <c r="I380">
        <v>5</v>
      </c>
      <c r="J380" s="15">
        <v>1325</v>
      </c>
      <c r="K380" s="16">
        <f t="shared" si="10"/>
        <v>1.5160183066361557</v>
      </c>
      <c r="L380" s="15">
        <v>1150</v>
      </c>
      <c r="M380" s="16">
        <f t="shared" si="11"/>
        <v>1.3157894736842106</v>
      </c>
      <c r="N380" t="s">
        <v>219</v>
      </c>
    </row>
    <row r="381" spans="1:14" x14ac:dyDescent="0.25">
      <c r="A381" t="s">
        <v>483</v>
      </c>
      <c r="B381" t="s">
        <v>484</v>
      </c>
      <c r="C381" t="s">
        <v>894</v>
      </c>
      <c r="D381">
        <v>2</v>
      </c>
      <c r="E381">
        <v>2</v>
      </c>
      <c r="F381">
        <v>991</v>
      </c>
      <c r="G381" s="14">
        <v>45956</v>
      </c>
      <c r="H381" s="14">
        <v>46001</v>
      </c>
      <c r="I381">
        <v>46</v>
      </c>
      <c r="J381" s="15">
        <v>1292</v>
      </c>
      <c r="K381" s="16">
        <f t="shared" si="10"/>
        <v>1.3037336024217963</v>
      </c>
      <c r="L381" s="15">
        <v>1292</v>
      </c>
      <c r="M381" s="16">
        <f t="shared" si="11"/>
        <v>1.3037336024217963</v>
      </c>
      <c r="N381" t="s">
        <v>219</v>
      </c>
    </row>
    <row r="382" spans="1:14" x14ac:dyDescent="0.25">
      <c r="A382" t="s">
        <v>472</v>
      </c>
      <c r="B382" t="s">
        <v>473</v>
      </c>
      <c r="C382" t="s">
        <v>895</v>
      </c>
      <c r="D382">
        <v>2</v>
      </c>
      <c r="E382">
        <v>1</v>
      </c>
      <c r="F382">
        <v>800</v>
      </c>
      <c r="G382" s="14">
        <v>45819</v>
      </c>
      <c r="H382" s="14">
        <v>46002</v>
      </c>
      <c r="I382">
        <v>184</v>
      </c>
      <c r="J382" s="15">
        <v>1298</v>
      </c>
      <c r="K382" s="16">
        <f t="shared" si="10"/>
        <v>1.6225000000000001</v>
      </c>
      <c r="L382" s="15">
        <v>1113</v>
      </c>
      <c r="M382" s="16">
        <f t="shared" si="11"/>
        <v>1.3912500000000001</v>
      </c>
      <c r="N382" t="s">
        <v>219</v>
      </c>
    </row>
    <row r="383" spans="1:14" x14ac:dyDescent="0.25">
      <c r="A383" t="s">
        <v>472</v>
      </c>
      <c r="B383" t="s">
        <v>473</v>
      </c>
      <c r="C383" t="s">
        <v>896</v>
      </c>
      <c r="D383">
        <v>2</v>
      </c>
      <c r="E383">
        <v>1</v>
      </c>
      <c r="F383">
        <v>800</v>
      </c>
      <c r="G383" s="14">
        <v>45954</v>
      </c>
      <c r="H383" s="14">
        <v>46002</v>
      </c>
      <c r="I383">
        <v>49</v>
      </c>
      <c r="J383" s="15">
        <v>1498</v>
      </c>
      <c r="K383" s="16">
        <f t="shared" si="10"/>
        <v>1.8725000000000001</v>
      </c>
      <c r="L383" s="15">
        <v>1268</v>
      </c>
      <c r="M383" s="16">
        <f t="shared" si="11"/>
        <v>1.585</v>
      </c>
      <c r="N383" t="s">
        <v>219</v>
      </c>
    </row>
    <row r="384" spans="1:14" x14ac:dyDescent="0.25">
      <c r="A384" t="s">
        <v>462</v>
      </c>
      <c r="B384" t="s">
        <v>470</v>
      </c>
      <c r="C384" t="s">
        <v>897</v>
      </c>
      <c r="D384">
        <v>1</v>
      </c>
      <c r="E384">
        <v>1</v>
      </c>
      <c r="F384">
        <v>732</v>
      </c>
      <c r="G384" s="14">
        <v>45987</v>
      </c>
      <c r="H384" s="14">
        <v>46003</v>
      </c>
      <c r="I384">
        <v>17</v>
      </c>
      <c r="J384" s="15">
        <v>1325</v>
      </c>
      <c r="K384" s="16">
        <f t="shared" si="10"/>
        <v>1.8101092896174864</v>
      </c>
      <c r="L384" s="15">
        <v>994</v>
      </c>
      <c r="M384" s="16">
        <f t="shared" si="11"/>
        <v>1.3579234972677596</v>
      </c>
      <c r="N384" t="s">
        <v>219</v>
      </c>
    </row>
    <row r="385" spans="1:14" x14ac:dyDescent="0.25">
      <c r="A385" t="s">
        <v>462</v>
      </c>
      <c r="B385" t="s">
        <v>463</v>
      </c>
      <c r="C385" t="s">
        <v>898</v>
      </c>
      <c r="D385">
        <v>2</v>
      </c>
      <c r="E385">
        <v>2</v>
      </c>
      <c r="F385">
        <v>958</v>
      </c>
      <c r="G385" s="14">
        <v>45974</v>
      </c>
      <c r="H385" s="14">
        <v>46003</v>
      </c>
      <c r="I385">
        <v>30</v>
      </c>
      <c r="J385" s="15">
        <v>1600</v>
      </c>
      <c r="K385" s="16">
        <f t="shared" si="10"/>
        <v>1.6701461377870563</v>
      </c>
      <c r="L385" s="15">
        <v>1200</v>
      </c>
      <c r="M385" s="16">
        <f t="shared" si="11"/>
        <v>1.2526096033402923</v>
      </c>
      <c r="N385" t="s">
        <v>219</v>
      </c>
    </row>
    <row r="386" spans="1:14" x14ac:dyDescent="0.25">
      <c r="A386" t="s">
        <v>472</v>
      </c>
      <c r="B386" t="s">
        <v>473</v>
      </c>
      <c r="C386" t="s">
        <v>899</v>
      </c>
      <c r="D386">
        <v>2</v>
      </c>
      <c r="E386">
        <v>1</v>
      </c>
      <c r="F386">
        <v>800</v>
      </c>
      <c r="G386" s="14">
        <v>45887</v>
      </c>
      <c r="H386" s="14">
        <v>46003</v>
      </c>
      <c r="I386">
        <v>117</v>
      </c>
      <c r="J386" s="15">
        <v>1348</v>
      </c>
      <c r="K386" s="16">
        <f t="shared" ref="K386:K449" si="12">IFERROR(J386/F386,0)</f>
        <v>1.6850000000000001</v>
      </c>
      <c r="L386" s="15">
        <v>1155</v>
      </c>
      <c r="M386" s="16">
        <f t="shared" ref="M386:M449" si="13">IFERROR(L386/F386,0)</f>
        <v>1.4437500000000001</v>
      </c>
      <c r="N386" t="s">
        <v>219</v>
      </c>
    </row>
    <row r="387" spans="1:14" x14ac:dyDescent="0.25">
      <c r="A387" t="s">
        <v>472</v>
      </c>
      <c r="B387" t="s">
        <v>473</v>
      </c>
      <c r="C387" t="s">
        <v>900</v>
      </c>
      <c r="D387">
        <v>2</v>
      </c>
      <c r="E387">
        <v>1</v>
      </c>
      <c r="F387">
        <v>800</v>
      </c>
      <c r="G387" s="14">
        <v>45937</v>
      </c>
      <c r="H387" s="14">
        <v>46005</v>
      </c>
      <c r="I387">
        <v>69</v>
      </c>
      <c r="J387" s="15">
        <v>1248</v>
      </c>
      <c r="K387" s="16">
        <f t="shared" si="12"/>
        <v>1.56</v>
      </c>
      <c r="L387" s="15">
        <v>1070</v>
      </c>
      <c r="M387" s="16">
        <f t="shared" si="13"/>
        <v>1.3374999999999999</v>
      </c>
      <c r="N387" t="s">
        <v>219</v>
      </c>
    </row>
    <row r="388" spans="1:14" x14ac:dyDescent="0.25">
      <c r="A388" t="s">
        <v>465</v>
      </c>
      <c r="B388" t="s">
        <v>502</v>
      </c>
      <c r="C388" t="s">
        <v>901</v>
      </c>
      <c r="D388">
        <v>2</v>
      </c>
      <c r="E388">
        <v>2</v>
      </c>
      <c r="F388">
        <v>1011</v>
      </c>
      <c r="G388" s="14">
        <v>45939</v>
      </c>
      <c r="H388" s="14">
        <v>46005</v>
      </c>
      <c r="I388">
        <v>67</v>
      </c>
      <c r="J388" s="15">
        <v>1422</v>
      </c>
      <c r="K388" s="16">
        <f t="shared" si="12"/>
        <v>1.4065281899109792</v>
      </c>
      <c r="L388" s="15">
        <v>1203</v>
      </c>
      <c r="M388" s="16">
        <f t="shared" si="13"/>
        <v>1.1899109792284865</v>
      </c>
      <c r="N388" t="s">
        <v>219</v>
      </c>
    </row>
    <row r="389" spans="1:14" x14ac:dyDescent="0.25">
      <c r="A389" t="s">
        <v>465</v>
      </c>
      <c r="B389" t="s">
        <v>781</v>
      </c>
      <c r="C389" t="s">
        <v>902</v>
      </c>
      <c r="D389">
        <v>3</v>
      </c>
      <c r="E389">
        <v>2</v>
      </c>
      <c r="F389">
        <v>1181</v>
      </c>
      <c r="G389" s="14">
        <v>45978</v>
      </c>
      <c r="H389" s="14">
        <v>46005</v>
      </c>
      <c r="I389">
        <v>28</v>
      </c>
      <c r="J389" s="15">
        <v>1704</v>
      </c>
      <c r="K389" s="16">
        <f t="shared" si="12"/>
        <v>1.4428450465707028</v>
      </c>
      <c r="L389" s="15">
        <v>1479</v>
      </c>
      <c r="M389" s="16">
        <f t="shared" si="13"/>
        <v>1.2523285351397122</v>
      </c>
      <c r="N389" t="s">
        <v>219</v>
      </c>
    </row>
    <row r="390" spans="1:14" x14ac:dyDescent="0.25">
      <c r="A390" t="s">
        <v>465</v>
      </c>
      <c r="B390" t="s">
        <v>489</v>
      </c>
      <c r="C390" t="s">
        <v>903</v>
      </c>
      <c r="D390">
        <v>1</v>
      </c>
      <c r="E390">
        <v>1</v>
      </c>
      <c r="F390">
        <v>532</v>
      </c>
      <c r="G390" s="14">
        <v>45926</v>
      </c>
      <c r="H390" s="14">
        <v>46006</v>
      </c>
      <c r="I390">
        <v>81</v>
      </c>
      <c r="J390" s="15">
        <v>1108</v>
      </c>
      <c r="K390" s="16">
        <f t="shared" si="12"/>
        <v>2.0827067669172932</v>
      </c>
      <c r="L390" s="15">
        <v>962</v>
      </c>
      <c r="M390" s="16">
        <f t="shared" si="13"/>
        <v>1.8082706766917294</v>
      </c>
      <c r="N390" t="s">
        <v>219</v>
      </c>
    </row>
    <row r="391" spans="1:14" x14ac:dyDescent="0.25">
      <c r="A391" t="s">
        <v>451</v>
      </c>
      <c r="B391" t="s">
        <v>460</v>
      </c>
      <c r="C391" t="s">
        <v>904</v>
      </c>
      <c r="D391">
        <v>1</v>
      </c>
      <c r="E391">
        <v>1</v>
      </c>
      <c r="F391">
        <v>726</v>
      </c>
      <c r="G391" s="14">
        <v>45709</v>
      </c>
      <c r="H391" s="14">
        <v>46007</v>
      </c>
      <c r="I391">
        <v>299</v>
      </c>
      <c r="J391" s="15">
        <v>1000</v>
      </c>
      <c r="K391" s="16">
        <f t="shared" si="12"/>
        <v>1.3774104683195592</v>
      </c>
      <c r="L391" s="15">
        <v>833</v>
      </c>
      <c r="M391" s="16">
        <f t="shared" si="13"/>
        <v>1.1473829201101928</v>
      </c>
      <c r="N391" t="s">
        <v>219</v>
      </c>
    </row>
    <row r="392" spans="1:14" x14ac:dyDescent="0.25">
      <c r="A392" t="s">
        <v>454</v>
      </c>
      <c r="B392" t="s">
        <v>905</v>
      </c>
      <c r="C392" t="s">
        <v>737</v>
      </c>
      <c r="D392">
        <v>2</v>
      </c>
      <c r="E392">
        <v>2</v>
      </c>
      <c r="F392">
        <v>1001</v>
      </c>
      <c r="G392" s="14">
        <v>45339</v>
      </c>
      <c r="H392" s="14">
        <v>46007</v>
      </c>
      <c r="I392">
        <v>669</v>
      </c>
      <c r="J392" s="15">
        <v>1665</v>
      </c>
      <c r="K392" s="16">
        <f t="shared" si="12"/>
        <v>1.6633366633366633</v>
      </c>
      <c r="L392" s="15">
        <v>1665</v>
      </c>
      <c r="M392" s="16">
        <f t="shared" si="13"/>
        <v>1.6633366633366633</v>
      </c>
      <c r="N392" t="s">
        <v>219</v>
      </c>
    </row>
    <row r="393" spans="1:14" x14ac:dyDescent="0.25">
      <c r="A393" t="s">
        <v>454</v>
      </c>
      <c r="B393" t="s">
        <v>906</v>
      </c>
      <c r="C393" t="s">
        <v>907</v>
      </c>
      <c r="D393">
        <v>3</v>
      </c>
      <c r="E393">
        <v>2</v>
      </c>
      <c r="F393">
        <v>1103</v>
      </c>
      <c r="G393" s="14">
        <v>45483</v>
      </c>
      <c r="H393" s="14">
        <v>46007</v>
      </c>
      <c r="I393">
        <v>525</v>
      </c>
      <c r="J393" s="15">
        <v>1865</v>
      </c>
      <c r="K393" s="16">
        <f t="shared" si="12"/>
        <v>1.6908431550317315</v>
      </c>
      <c r="L393" s="15">
        <v>1865</v>
      </c>
      <c r="M393" s="16">
        <f t="shared" si="13"/>
        <v>1.6908431550317315</v>
      </c>
      <c r="N393" t="s">
        <v>219</v>
      </c>
    </row>
    <row r="394" spans="1:14" x14ac:dyDescent="0.25">
      <c r="A394" t="s">
        <v>486</v>
      </c>
      <c r="B394" t="s">
        <v>513</v>
      </c>
      <c r="C394" t="s">
        <v>908</v>
      </c>
      <c r="D394">
        <v>2</v>
      </c>
      <c r="E394">
        <v>2</v>
      </c>
      <c r="F394">
        <v>1000</v>
      </c>
      <c r="G394" s="14">
        <v>45861</v>
      </c>
      <c r="H394" s="14">
        <v>46007</v>
      </c>
      <c r="I394">
        <v>147</v>
      </c>
      <c r="J394" s="15">
        <v>1305</v>
      </c>
      <c r="K394" s="16">
        <f t="shared" si="12"/>
        <v>1.3049999999999999</v>
      </c>
      <c r="L394" s="15">
        <v>1104</v>
      </c>
      <c r="M394" s="16">
        <f t="shared" si="13"/>
        <v>1.1040000000000001</v>
      </c>
      <c r="N394" t="s">
        <v>219</v>
      </c>
    </row>
    <row r="395" spans="1:14" x14ac:dyDescent="0.25">
      <c r="A395" t="s">
        <v>457</v>
      </c>
      <c r="B395" t="s">
        <v>525</v>
      </c>
      <c r="C395" t="s">
        <v>909</v>
      </c>
      <c r="D395">
        <v>2</v>
      </c>
      <c r="E395">
        <v>2</v>
      </c>
      <c r="F395">
        <v>1001</v>
      </c>
      <c r="G395" s="14">
        <v>45853</v>
      </c>
      <c r="H395" s="14">
        <v>46007</v>
      </c>
      <c r="I395">
        <v>155</v>
      </c>
      <c r="J395" s="15">
        <v>1405</v>
      </c>
      <c r="K395" s="16">
        <f t="shared" si="12"/>
        <v>1.4035964035964037</v>
      </c>
      <c r="L395" s="15">
        <v>1189</v>
      </c>
      <c r="M395" s="16">
        <f t="shared" si="13"/>
        <v>1.1878121878121879</v>
      </c>
      <c r="N395" t="s">
        <v>219</v>
      </c>
    </row>
    <row r="396" spans="1:14" x14ac:dyDescent="0.25">
      <c r="A396" t="s">
        <v>483</v>
      </c>
      <c r="B396" t="s">
        <v>570</v>
      </c>
      <c r="C396" t="s">
        <v>910</v>
      </c>
      <c r="D396">
        <v>3</v>
      </c>
      <c r="E396">
        <v>2</v>
      </c>
      <c r="F396">
        <v>1143</v>
      </c>
      <c r="G396" s="14">
        <v>45819</v>
      </c>
      <c r="H396" s="14">
        <v>46007</v>
      </c>
      <c r="I396">
        <v>189</v>
      </c>
      <c r="J396" s="15">
        <v>999</v>
      </c>
      <c r="K396" s="16">
        <f t="shared" si="12"/>
        <v>0.87401574803149606</v>
      </c>
      <c r="L396" s="15">
        <v>999</v>
      </c>
      <c r="M396" s="16">
        <f t="shared" si="13"/>
        <v>0.87401574803149606</v>
      </c>
      <c r="N396" t="s">
        <v>219</v>
      </c>
    </row>
    <row r="397" spans="1:14" x14ac:dyDescent="0.25">
      <c r="A397" t="s">
        <v>483</v>
      </c>
      <c r="B397" t="s">
        <v>570</v>
      </c>
      <c r="C397" t="s">
        <v>911</v>
      </c>
      <c r="D397">
        <v>3</v>
      </c>
      <c r="E397">
        <v>2</v>
      </c>
      <c r="F397">
        <v>1143</v>
      </c>
      <c r="G397" s="14">
        <v>45972</v>
      </c>
      <c r="H397" s="14">
        <v>46007</v>
      </c>
      <c r="I397">
        <v>36</v>
      </c>
      <c r="J397" s="15">
        <v>1496</v>
      </c>
      <c r="K397" s="16">
        <f t="shared" si="12"/>
        <v>1.3088363954505686</v>
      </c>
      <c r="L397" s="15">
        <v>1496</v>
      </c>
      <c r="M397" s="16">
        <f t="shared" si="13"/>
        <v>1.3088363954505686</v>
      </c>
      <c r="N397" t="s">
        <v>219</v>
      </c>
    </row>
    <row r="398" spans="1:14" x14ac:dyDescent="0.25">
      <c r="A398" t="s">
        <v>483</v>
      </c>
      <c r="B398" t="s">
        <v>570</v>
      </c>
      <c r="C398" t="s">
        <v>912</v>
      </c>
      <c r="D398">
        <v>3</v>
      </c>
      <c r="E398">
        <v>2</v>
      </c>
      <c r="F398">
        <v>1143</v>
      </c>
      <c r="G398" s="14">
        <v>45871</v>
      </c>
      <c r="H398" s="14">
        <v>46007</v>
      </c>
      <c r="I398">
        <v>137</v>
      </c>
      <c r="J398" s="15">
        <v>1496</v>
      </c>
      <c r="K398" s="16">
        <f t="shared" si="12"/>
        <v>1.3088363954505686</v>
      </c>
      <c r="L398" s="15">
        <v>1496</v>
      </c>
      <c r="M398" s="16">
        <f t="shared" si="13"/>
        <v>1.3088363954505686</v>
      </c>
      <c r="N398" t="s">
        <v>219</v>
      </c>
    </row>
    <row r="399" spans="1:14" x14ac:dyDescent="0.25">
      <c r="A399" t="s">
        <v>462</v>
      </c>
      <c r="B399" t="s">
        <v>470</v>
      </c>
      <c r="C399" t="s">
        <v>913</v>
      </c>
      <c r="D399">
        <v>1</v>
      </c>
      <c r="E399">
        <v>1</v>
      </c>
      <c r="F399">
        <v>732</v>
      </c>
      <c r="G399" s="14">
        <v>45616</v>
      </c>
      <c r="H399" s="14">
        <v>46008</v>
      </c>
      <c r="I399">
        <v>393</v>
      </c>
      <c r="J399" s="15">
        <v>1450</v>
      </c>
      <c r="K399" s="16">
        <f t="shared" si="12"/>
        <v>1.9808743169398908</v>
      </c>
      <c r="L399" s="15">
        <v>1088</v>
      </c>
      <c r="M399" s="16">
        <f t="shared" si="13"/>
        <v>1.4863387978142077</v>
      </c>
      <c r="N399" t="s">
        <v>219</v>
      </c>
    </row>
    <row r="400" spans="1:14" x14ac:dyDescent="0.25">
      <c r="A400" t="s">
        <v>483</v>
      </c>
      <c r="B400" t="s">
        <v>541</v>
      </c>
      <c r="C400" t="s">
        <v>914</v>
      </c>
      <c r="D400">
        <v>1</v>
      </c>
      <c r="E400">
        <v>1</v>
      </c>
      <c r="F400">
        <v>702</v>
      </c>
      <c r="G400" s="14">
        <v>45998</v>
      </c>
      <c r="H400" s="14">
        <v>46008</v>
      </c>
      <c r="I400">
        <v>11</v>
      </c>
      <c r="J400" s="15">
        <v>755</v>
      </c>
      <c r="K400" s="16">
        <f t="shared" si="12"/>
        <v>1.0754985754985755</v>
      </c>
      <c r="L400" s="15">
        <v>755</v>
      </c>
      <c r="M400" s="16">
        <f t="shared" si="13"/>
        <v>1.0754985754985755</v>
      </c>
      <c r="N400" t="s">
        <v>219</v>
      </c>
    </row>
    <row r="401" spans="1:14" x14ac:dyDescent="0.25">
      <c r="A401" t="s">
        <v>483</v>
      </c>
      <c r="B401" t="s">
        <v>484</v>
      </c>
      <c r="C401" t="s">
        <v>915</v>
      </c>
      <c r="D401">
        <v>2</v>
      </c>
      <c r="E401">
        <v>2</v>
      </c>
      <c r="F401">
        <v>991</v>
      </c>
      <c r="G401" s="14">
        <v>45993</v>
      </c>
      <c r="H401" s="14">
        <v>46008</v>
      </c>
      <c r="I401">
        <v>16</v>
      </c>
      <c r="J401" s="15">
        <v>836</v>
      </c>
      <c r="K401" s="16">
        <f t="shared" si="12"/>
        <v>0.84359233097880926</v>
      </c>
      <c r="L401" s="15">
        <v>836</v>
      </c>
      <c r="M401" s="16">
        <f t="shared" si="13"/>
        <v>0.84359233097880926</v>
      </c>
      <c r="N401" t="s">
        <v>219</v>
      </c>
    </row>
    <row r="402" spans="1:14" x14ac:dyDescent="0.25">
      <c r="A402" t="s">
        <v>483</v>
      </c>
      <c r="B402" t="s">
        <v>484</v>
      </c>
      <c r="C402" t="s">
        <v>916</v>
      </c>
      <c r="D402">
        <v>2</v>
      </c>
      <c r="E402">
        <v>2</v>
      </c>
      <c r="F402">
        <v>991</v>
      </c>
      <c r="G402" s="14">
        <v>45976</v>
      </c>
      <c r="H402" s="14">
        <v>46008</v>
      </c>
      <c r="I402">
        <v>33</v>
      </c>
      <c r="J402" s="15">
        <v>836</v>
      </c>
      <c r="K402" s="16">
        <f t="shared" si="12"/>
        <v>0.84359233097880926</v>
      </c>
      <c r="L402" s="15">
        <v>836</v>
      </c>
      <c r="M402" s="16">
        <f t="shared" si="13"/>
        <v>0.84359233097880926</v>
      </c>
      <c r="N402" t="s">
        <v>219</v>
      </c>
    </row>
    <row r="403" spans="1:14" x14ac:dyDescent="0.25">
      <c r="A403" t="s">
        <v>483</v>
      </c>
      <c r="B403" t="s">
        <v>484</v>
      </c>
      <c r="C403" t="s">
        <v>917</v>
      </c>
      <c r="D403">
        <v>2</v>
      </c>
      <c r="E403">
        <v>2</v>
      </c>
      <c r="F403">
        <v>991</v>
      </c>
      <c r="G403" s="14">
        <v>45970</v>
      </c>
      <c r="H403" s="14">
        <v>46008</v>
      </c>
      <c r="I403">
        <v>39</v>
      </c>
      <c r="J403" s="15">
        <v>861</v>
      </c>
      <c r="K403" s="16">
        <f t="shared" si="12"/>
        <v>0.86881937436932388</v>
      </c>
      <c r="L403" s="15">
        <v>861</v>
      </c>
      <c r="M403" s="16">
        <f t="shared" si="13"/>
        <v>0.86881937436932388</v>
      </c>
      <c r="N403" t="s">
        <v>219</v>
      </c>
    </row>
    <row r="404" spans="1:14" x14ac:dyDescent="0.25">
      <c r="A404" t="s">
        <v>483</v>
      </c>
      <c r="B404" t="s">
        <v>484</v>
      </c>
      <c r="C404" t="s">
        <v>918</v>
      </c>
      <c r="D404">
        <v>2</v>
      </c>
      <c r="E404">
        <v>2</v>
      </c>
      <c r="F404">
        <v>991</v>
      </c>
      <c r="G404" s="14">
        <v>45967</v>
      </c>
      <c r="H404" s="14">
        <v>46008</v>
      </c>
      <c r="I404">
        <v>42</v>
      </c>
      <c r="J404" s="15">
        <v>1292</v>
      </c>
      <c r="K404" s="16">
        <f t="shared" si="12"/>
        <v>1.3037336024217963</v>
      </c>
      <c r="L404" s="15">
        <v>1292</v>
      </c>
      <c r="M404" s="16">
        <f t="shared" si="13"/>
        <v>1.3037336024217963</v>
      </c>
      <c r="N404" t="s">
        <v>219</v>
      </c>
    </row>
    <row r="405" spans="1:14" x14ac:dyDescent="0.25">
      <c r="A405" t="s">
        <v>483</v>
      </c>
      <c r="B405" t="s">
        <v>484</v>
      </c>
      <c r="C405" t="s">
        <v>919</v>
      </c>
      <c r="D405">
        <v>2</v>
      </c>
      <c r="E405">
        <v>2</v>
      </c>
      <c r="F405">
        <v>991</v>
      </c>
      <c r="G405" s="14">
        <v>45997</v>
      </c>
      <c r="H405" s="14">
        <v>46008</v>
      </c>
      <c r="I405">
        <v>12</v>
      </c>
      <c r="J405" s="15">
        <v>1292</v>
      </c>
      <c r="K405" s="16">
        <f t="shared" si="12"/>
        <v>1.3037336024217963</v>
      </c>
      <c r="L405" s="15">
        <v>1292</v>
      </c>
      <c r="M405" s="16">
        <f t="shared" si="13"/>
        <v>1.3037336024217963</v>
      </c>
      <c r="N405" t="s">
        <v>219</v>
      </c>
    </row>
    <row r="406" spans="1:14" x14ac:dyDescent="0.25">
      <c r="A406" t="s">
        <v>483</v>
      </c>
      <c r="B406" t="s">
        <v>570</v>
      </c>
      <c r="C406" t="s">
        <v>920</v>
      </c>
      <c r="D406">
        <v>3</v>
      </c>
      <c r="E406">
        <v>2</v>
      </c>
      <c r="F406">
        <v>1143</v>
      </c>
      <c r="G406" s="14">
        <v>45940</v>
      </c>
      <c r="H406" s="14">
        <v>46008</v>
      </c>
      <c r="I406">
        <v>69</v>
      </c>
      <c r="J406" s="15">
        <v>971</v>
      </c>
      <c r="K406" s="16">
        <f t="shared" si="12"/>
        <v>0.84951881014873143</v>
      </c>
      <c r="L406" s="15">
        <v>971</v>
      </c>
      <c r="M406" s="16">
        <f t="shared" si="13"/>
        <v>0.84951881014873143</v>
      </c>
      <c r="N406" t="s">
        <v>219</v>
      </c>
    </row>
    <row r="407" spans="1:14" x14ac:dyDescent="0.25">
      <c r="A407" t="s">
        <v>483</v>
      </c>
      <c r="B407" t="s">
        <v>570</v>
      </c>
      <c r="C407" t="s">
        <v>921</v>
      </c>
      <c r="D407">
        <v>3</v>
      </c>
      <c r="E407">
        <v>2</v>
      </c>
      <c r="F407">
        <v>1143</v>
      </c>
      <c r="G407" s="14">
        <v>46003</v>
      </c>
      <c r="H407" s="14">
        <v>46008</v>
      </c>
      <c r="I407">
        <v>6</v>
      </c>
      <c r="J407" s="15">
        <v>971</v>
      </c>
      <c r="K407" s="16">
        <f t="shared" si="12"/>
        <v>0.84951881014873143</v>
      </c>
      <c r="L407" s="15">
        <v>971</v>
      </c>
      <c r="M407" s="16">
        <f t="shared" si="13"/>
        <v>0.84951881014873143</v>
      </c>
      <c r="N407" t="s">
        <v>219</v>
      </c>
    </row>
    <row r="408" spans="1:14" x14ac:dyDescent="0.25">
      <c r="A408" t="s">
        <v>483</v>
      </c>
      <c r="B408" t="s">
        <v>570</v>
      </c>
      <c r="C408" t="s">
        <v>922</v>
      </c>
      <c r="D408">
        <v>3</v>
      </c>
      <c r="E408">
        <v>2</v>
      </c>
      <c r="F408">
        <v>1143</v>
      </c>
      <c r="G408" s="14">
        <v>45891</v>
      </c>
      <c r="H408" s="14">
        <v>46008</v>
      </c>
      <c r="I408">
        <v>118</v>
      </c>
      <c r="J408" s="15">
        <v>999</v>
      </c>
      <c r="K408" s="16">
        <f t="shared" si="12"/>
        <v>0.87401574803149606</v>
      </c>
      <c r="L408" s="15">
        <v>999</v>
      </c>
      <c r="M408" s="16">
        <f t="shared" si="13"/>
        <v>0.87401574803149606</v>
      </c>
      <c r="N408" t="s">
        <v>219</v>
      </c>
    </row>
    <row r="409" spans="1:14" x14ac:dyDescent="0.25">
      <c r="A409" t="s">
        <v>483</v>
      </c>
      <c r="B409" t="s">
        <v>570</v>
      </c>
      <c r="C409" t="s">
        <v>923</v>
      </c>
      <c r="D409">
        <v>3</v>
      </c>
      <c r="E409">
        <v>2</v>
      </c>
      <c r="F409">
        <v>1143</v>
      </c>
      <c r="G409" s="14">
        <v>45963</v>
      </c>
      <c r="H409" s="14">
        <v>46008</v>
      </c>
      <c r="I409">
        <v>46</v>
      </c>
      <c r="J409" s="15">
        <v>1049</v>
      </c>
      <c r="K409" s="16">
        <f t="shared" si="12"/>
        <v>0.91776027996500442</v>
      </c>
      <c r="L409" s="15">
        <v>1049</v>
      </c>
      <c r="M409" s="16">
        <f t="shared" si="13"/>
        <v>0.91776027996500442</v>
      </c>
      <c r="N409" t="s">
        <v>219</v>
      </c>
    </row>
    <row r="410" spans="1:14" x14ac:dyDescent="0.25">
      <c r="A410" t="s">
        <v>483</v>
      </c>
      <c r="B410" t="s">
        <v>570</v>
      </c>
      <c r="C410" t="s">
        <v>924</v>
      </c>
      <c r="D410">
        <v>3</v>
      </c>
      <c r="E410">
        <v>2</v>
      </c>
      <c r="F410">
        <v>1143</v>
      </c>
      <c r="G410" s="14">
        <v>45997</v>
      </c>
      <c r="H410" s="14">
        <v>46008</v>
      </c>
      <c r="I410">
        <v>12</v>
      </c>
      <c r="J410" s="15">
        <v>1049</v>
      </c>
      <c r="K410" s="16">
        <f t="shared" si="12"/>
        <v>0.91776027996500442</v>
      </c>
      <c r="L410" s="15">
        <v>1049</v>
      </c>
      <c r="M410" s="16">
        <f t="shared" si="13"/>
        <v>0.91776027996500442</v>
      </c>
      <c r="N410" t="s">
        <v>219</v>
      </c>
    </row>
    <row r="411" spans="1:14" x14ac:dyDescent="0.25">
      <c r="A411" t="s">
        <v>483</v>
      </c>
      <c r="B411" t="s">
        <v>570</v>
      </c>
      <c r="C411" t="s">
        <v>925</v>
      </c>
      <c r="D411">
        <v>3</v>
      </c>
      <c r="E411">
        <v>2</v>
      </c>
      <c r="F411">
        <v>1143</v>
      </c>
      <c r="G411" s="14">
        <v>45972</v>
      </c>
      <c r="H411" s="14">
        <v>46008</v>
      </c>
      <c r="I411">
        <v>37</v>
      </c>
      <c r="J411" s="15">
        <v>1496</v>
      </c>
      <c r="K411" s="16">
        <f t="shared" si="12"/>
        <v>1.3088363954505686</v>
      </c>
      <c r="L411" s="15">
        <v>1496</v>
      </c>
      <c r="M411" s="16">
        <f t="shared" si="13"/>
        <v>1.3088363954505686</v>
      </c>
      <c r="N411" t="s">
        <v>219</v>
      </c>
    </row>
    <row r="412" spans="1:14" x14ac:dyDescent="0.25">
      <c r="A412" t="s">
        <v>483</v>
      </c>
      <c r="B412" t="s">
        <v>570</v>
      </c>
      <c r="C412" t="s">
        <v>926</v>
      </c>
      <c r="D412">
        <v>3</v>
      </c>
      <c r="E412">
        <v>2</v>
      </c>
      <c r="F412">
        <v>1143</v>
      </c>
      <c r="G412" s="14">
        <v>45980</v>
      </c>
      <c r="H412" s="14">
        <v>46008</v>
      </c>
      <c r="I412">
        <v>29</v>
      </c>
      <c r="J412" s="15">
        <v>1496</v>
      </c>
      <c r="K412" s="16">
        <f t="shared" si="12"/>
        <v>1.3088363954505686</v>
      </c>
      <c r="L412" s="15">
        <v>1496</v>
      </c>
      <c r="M412" s="16">
        <f t="shared" si="13"/>
        <v>1.3088363954505686</v>
      </c>
      <c r="N412" t="s">
        <v>219</v>
      </c>
    </row>
    <row r="413" spans="1:14" x14ac:dyDescent="0.25">
      <c r="A413" t="s">
        <v>477</v>
      </c>
      <c r="B413" t="s">
        <v>478</v>
      </c>
      <c r="C413" t="s">
        <v>927</v>
      </c>
      <c r="D413">
        <v>1</v>
      </c>
      <c r="E413">
        <v>1</v>
      </c>
      <c r="F413">
        <v>771</v>
      </c>
      <c r="G413" s="14">
        <v>45927</v>
      </c>
      <c r="H413" s="14">
        <v>46009</v>
      </c>
      <c r="I413">
        <v>83</v>
      </c>
      <c r="J413" s="15">
        <v>1031</v>
      </c>
      <c r="K413" s="16">
        <f t="shared" si="12"/>
        <v>1.3372243839169908</v>
      </c>
      <c r="L413" s="15">
        <v>1031</v>
      </c>
      <c r="M413" s="16">
        <f t="shared" si="13"/>
        <v>1.3372243839169908</v>
      </c>
      <c r="N413" t="s">
        <v>219</v>
      </c>
    </row>
    <row r="414" spans="1:14" x14ac:dyDescent="0.25">
      <c r="A414" t="s">
        <v>462</v>
      </c>
      <c r="B414" t="s">
        <v>470</v>
      </c>
      <c r="C414" t="s">
        <v>928</v>
      </c>
      <c r="D414">
        <v>1</v>
      </c>
      <c r="E414">
        <v>1</v>
      </c>
      <c r="F414">
        <v>732</v>
      </c>
      <c r="G414" s="14">
        <v>45987</v>
      </c>
      <c r="H414" s="14">
        <v>46009</v>
      </c>
      <c r="I414">
        <v>23</v>
      </c>
      <c r="J414" s="15">
        <v>1325</v>
      </c>
      <c r="K414" s="16">
        <f t="shared" si="12"/>
        <v>1.8101092896174864</v>
      </c>
      <c r="L414" s="15">
        <v>994</v>
      </c>
      <c r="M414" s="16">
        <f t="shared" si="13"/>
        <v>1.3579234972677596</v>
      </c>
      <c r="N414" t="s">
        <v>219</v>
      </c>
    </row>
    <row r="415" spans="1:14" x14ac:dyDescent="0.25">
      <c r="A415" t="s">
        <v>472</v>
      </c>
      <c r="B415" t="s">
        <v>496</v>
      </c>
      <c r="C415" t="s">
        <v>929</v>
      </c>
      <c r="D415">
        <v>1</v>
      </c>
      <c r="E415">
        <v>1</v>
      </c>
      <c r="F415">
        <v>625</v>
      </c>
      <c r="G415" s="14">
        <v>45960</v>
      </c>
      <c r="H415" s="14">
        <v>46009</v>
      </c>
      <c r="I415">
        <v>50</v>
      </c>
      <c r="J415" s="15">
        <v>1068</v>
      </c>
      <c r="K415" s="16">
        <f t="shared" si="12"/>
        <v>1.7088000000000001</v>
      </c>
      <c r="L415" s="15">
        <v>915</v>
      </c>
      <c r="M415" s="16">
        <f t="shared" si="13"/>
        <v>1.464</v>
      </c>
      <c r="N415" t="s">
        <v>219</v>
      </c>
    </row>
    <row r="416" spans="1:14" x14ac:dyDescent="0.25">
      <c r="A416" t="s">
        <v>486</v>
      </c>
      <c r="B416" t="s">
        <v>615</v>
      </c>
      <c r="C416" t="s">
        <v>930</v>
      </c>
      <c r="D416">
        <v>2</v>
      </c>
      <c r="E416">
        <v>2</v>
      </c>
      <c r="F416">
        <v>1000</v>
      </c>
      <c r="G416" s="14">
        <v>45826</v>
      </c>
      <c r="H416" s="14">
        <v>46009</v>
      </c>
      <c r="I416">
        <v>184</v>
      </c>
      <c r="J416" s="15">
        <v>1365</v>
      </c>
      <c r="K416" s="16">
        <f t="shared" si="12"/>
        <v>1.365</v>
      </c>
      <c r="L416" s="15">
        <v>1171</v>
      </c>
      <c r="M416" s="16">
        <f t="shared" si="13"/>
        <v>1.171</v>
      </c>
      <c r="N416" t="s">
        <v>219</v>
      </c>
    </row>
    <row r="417" spans="1:14" x14ac:dyDescent="0.25">
      <c r="A417" t="s">
        <v>477</v>
      </c>
      <c r="B417" t="s">
        <v>478</v>
      </c>
      <c r="C417" t="s">
        <v>931</v>
      </c>
      <c r="D417">
        <v>1</v>
      </c>
      <c r="E417">
        <v>1</v>
      </c>
      <c r="F417">
        <v>771</v>
      </c>
      <c r="G417" s="14">
        <v>45939</v>
      </c>
      <c r="H417" s="14">
        <v>46010</v>
      </c>
      <c r="I417">
        <v>72</v>
      </c>
      <c r="J417" s="15">
        <v>1031</v>
      </c>
      <c r="K417" s="16">
        <f t="shared" si="12"/>
        <v>1.3372243839169908</v>
      </c>
      <c r="L417" s="15">
        <v>1031</v>
      </c>
      <c r="M417" s="16">
        <f t="shared" si="13"/>
        <v>1.3372243839169908</v>
      </c>
      <c r="N417" t="s">
        <v>219</v>
      </c>
    </row>
    <row r="418" spans="1:14" x14ac:dyDescent="0.25">
      <c r="A418" t="s">
        <v>457</v>
      </c>
      <c r="B418" t="s">
        <v>458</v>
      </c>
      <c r="C418" t="s">
        <v>932</v>
      </c>
      <c r="D418">
        <v>1</v>
      </c>
      <c r="E418">
        <v>1</v>
      </c>
      <c r="F418">
        <v>762</v>
      </c>
      <c r="G418" s="14">
        <v>45967</v>
      </c>
      <c r="H418" s="14">
        <v>46010</v>
      </c>
      <c r="I418">
        <v>44</v>
      </c>
      <c r="J418" s="15">
        <v>1285</v>
      </c>
      <c r="K418" s="16">
        <f t="shared" si="12"/>
        <v>1.6863517060367454</v>
      </c>
      <c r="L418" s="15">
        <v>1087</v>
      </c>
      <c r="M418" s="16">
        <f t="shared" si="13"/>
        <v>1.4265091863517061</v>
      </c>
      <c r="N418" t="s">
        <v>219</v>
      </c>
    </row>
    <row r="419" spans="1:14" x14ac:dyDescent="0.25">
      <c r="A419" t="s">
        <v>451</v>
      </c>
      <c r="B419" t="s">
        <v>460</v>
      </c>
      <c r="C419" t="s">
        <v>774</v>
      </c>
      <c r="D419">
        <v>1</v>
      </c>
      <c r="E419">
        <v>1</v>
      </c>
      <c r="F419">
        <v>726</v>
      </c>
      <c r="G419" s="14">
        <v>45941</v>
      </c>
      <c r="H419" s="14">
        <v>46011</v>
      </c>
      <c r="I419">
        <v>71</v>
      </c>
      <c r="J419" s="15">
        <v>1000</v>
      </c>
      <c r="K419" s="16">
        <f t="shared" si="12"/>
        <v>1.3774104683195592</v>
      </c>
      <c r="L419" s="15">
        <v>833</v>
      </c>
      <c r="M419" s="16">
        <f t="shared" si="13"/>
        <v>1.1473829201101928</v>
      </c>
      <c r="N419" t="s">
        <v>219</v>
      </c>
    </row>
    <row r="420" spans="1:14" x14ac:dyDescent="0.25">
      <c r="A420" t="s">
        <v>477</v>
      </c>
      <c r="B420" t="s">
        <v>609</v>
      </c>
      <c r="C420" t="s">
        <v>933</v>
      </c>
      <c r="D420">
        <v>2</v>
      </c>
      <c r="E420">
        <v>2</v>
      </c>
      <c r="F420">
        <v>1050</v>
      </c>
      <c r="G420" s="14">
        <v>45992</v>
      </c>
      <c r="H420" s="14">
        <v>46011</v>
      </c>
      <c r="I420">
        <v>20</v>
      </c>
      <c r="J420" s="15">
        <v>1217</v>
      </c>
      <c r="K420" s="16">
        <f t="shared" si="12"/>
        <v>1.1590476190476191</v>
      </c>
      <c r="L420" s="15">
        <v>1217</v>
      </c>
      <c r="M420" s="16">
        <f t="shared" si="13"/>
        <v>1.1590476190476191</v>
      </c>
      <c r="N420" t="s">
        <v>219</v>
      </c>
    </row>
    <row r="421" spans="1:14" x14ac:dyDescent="0.25">
      <c r="A421" t="s">
        <v>457</v>
      </c>
      <c r="B421" t="s">
        <v>562</v>
      </c>
      <c r="C421" t="s">
        <v>934</v>
      </c>
      <c r="D421">
        <v>2</v>
      </c>
      <c r="E421">
        <v>2</v>
      </c>
      <c r="F421">
        <v>1001</v>
      </c>
      <c r="G421" s="14">
        <v>46004</v>
      </c>
      <c r="H421" s="14">
        <v>46011</v>
      </c>
      <c r="I421">
        <v>8</v>
      </c>
      <c r="J421" s="15">
        <v>1335</v>
      </c>
      <c r="K421" s="16">
        <f t="shared" si="12"/>
        <v>1.3336663336663337</v>
      </c>
      <c r="L421" s="15">
        <v>1129</v>
      </c>
      <c r="M421" s="16">
        <f t="shared" si="13"/>
        <v>1.127872127872128</v>
      </c>
      <c r="N421" t="s">
        <v>219</v>
      </c>
    </row>
    <row r="422" spans="1:14" x14ac:dyDescent="0.25">
      <c r="A422" t="s">
        <v>465</v>
      </c>
      <c r="B422" t="s">
        <v>822</v>
      </c>
      <c r="C422" t="s">
        <v>935</v>
      </c>
      <c r="D422">
        <v>2</v>
      </c>
      <c r="E422">
        <v>1</v>
      </c>
      <c r="F422">
        <v>912</v>
      </c>
      <c r="G422" s="14">
        <v>45958</v>
      </c>
      <c r="H422" s="14">
        <v>46011</v>
      </c>
      <c r="I422">
        <v>54</v>
      </c>
      <c r="J422" s="15">
        <v>1260</v>
      </c>
      <c r="K422" s="16">
        <f t="shared" si="12"/>
        <v>1.381578947368421</v>
      </c>
      <c r="L422" s="15">
        <v>1094</v>
      </c>
      <c r="M422" s="16">
        <f t="shared" si="13"/>
        <v>1.1995614035087718</v>
      </c>
      <c r="N422" t="s">
        <v>219</v>
      </c>
    </row>
    <row r="423" spans="1:14" x14ac:dyDescent="0.25">
      <c r="A423" t="s">
        <v>454</v>
      </c>
      <c r="B423" t="s">
        <v>481</v>
      </c>
      <c r="C423" t="s">
        <v>936</v>
      </c>
      <c r="D423">
        <v>2</v>
      </c>
      <c r="E423">
        <v>2</v>
      </c>
      <c r="F423">
        <v>1001</v>
      </c>
      <c r="G423" s="14">
        <v>45945</v>
      </c>
      <c r="H423" s="14">
        <v>46013</v>
      </c>
      <c r="I423">
        <v>69</v>
      </c>
      <c r="J423" s="15">
        <v>1150</v>
      </c>
      <c r="K423" s="16">
        <f t="shared" si="12"/>
        <v>1.1488511488511488</v>
      </c>
      <c r="L423" s="15">
        <v>1150</v>
      </c>
      <c r="M423" s="16">
        <f t="shared" si="13"/>
        <v>1.1488511488511488</v>
      </c>
      <c r="N423" t="s">
        <v>219</v>
      </c>
    </row>
    <row r="424" spans="1:14" x14ac:dyDescent="0.25">
      <c r="A424" t="s">
        <v>454</v>
      </c>
      <c r="B424" t="s">
        <v>455</v>
      </c>
      <c r="C424" t="s">
        <v>937</v>
      </c>
      <c r="D424">
        <v>2</v>
      </c>
      <c r="E424">
        <v>2</v>
      </c>
      <c r="F424">
        <v>1001</v>
      </c>
      <c r="G424" s="14">
        <v>45945</v>
      </c>
      <c r="H424" s="14">
        <v>46013</v>
      </c>
      <c r="I424">
        <v>69</v>
      </c>
      <c r="J424" s="15">
        <v>1200</v>
      </c>
      <c r="K424" s="16">
        <f t="shared" si="12"/>
        <v>1.1988011988011988</v>
      </c>
      <c r="L424" s="15">
        <v>1200</v>
      </c>
      <c r="M424" s="16">
        <f t="shared" si="13"/>
        <v>1.1988011988011988</v>
      </c>
      <c r="N424" t="s">
        <v>219</v>
      </c>
    </row>
    <row r="425" spans="1:14" x14ac:dyDescent="0.25">
      <c r="A425" t="s">
        <v>454</v>
      </c>
      <c r="B425" t="s">
        <v>938</v>
      </c>
      <c r="C425" t="s">
        <v>939</v>
      </c>
      <c r="D425">
        <v>3</v>
      </c>
      <c r="E425">
        <v>2</v>
      </c>
      <c r="F425">
        <v>1103</v>
      </c>
      <c r="G425" s="14">
        <v>46007</v>
      </c>
      <c r="H425" s="14">
        <v>46013</v>
      </c>
      <c r="I425">
        <v>7</v>
      </c>
      <c r="J425" s="15">
        <v>1265</v>
      </c>
      <c r="K425" s="16">
        <f t="shared" si="12"/>
        <v>1.1468721668177697</v>
      </c>
      <c r="L425" s="15">
        <v>1265</v>
      </c>
      <c r="M425" s="16">
        <f t="shared" si="13"/>
        <v>1.1468721668177697</v>
      </c>
      <c r="N425" t="s">
        <v>219</v>
      </c>
    </row>
    <row r="426" spans="1:14" x14ac:dyDescent="0.25">
      <c r="A426" t="s">
        <v>451</v>
      </c>
      <c r="B426" t="s">
        <v>533</v>
      </c>
      <c r="C426" t="s">
        <v>940</v>
      </c>
      <c r="D426">
        <v>1</v>
      </c>
      <c r="E426">
        <v>1</v>
      </c>
      <c r="F426">
        <v>600</v>
      </c>
      <c r="G426" s="14">
        <v>45736</v>
      </c>
      <c r="H426" s="14">
        <v>46014</v>
      </c>
      <c r="I426">
        <v>279</v>
      </c>
      <c r="J426" s="15">
        <v>1000</v>
      </c>
      <c r="K426" s="16">
        <f t="shared" si="12"/>
        <v>1.6666666666666667</v>
      </c>
      <c r="L426" s="15">
        <v>833</v>
      </c>
      <c r="M426" s="16">
        <f t="shared" si="13"/>
        <v>1.3883333333333334</v>
      </c>
      <c r="N426" t="s">
        <v>219</v>
      </c>
    </row>
    <row r="427" spans="1:14" x14ac:dyDescent="0.25">
      <c r="A427" t="s">
        <v>451</v>
      </c>
      <c r="B427" t="s">
        <v>468</v>
      </c>
      <c r="C427" t="s">
        <v>941</v>
      </c>
      <c r="D427">
        <v>2</v>
      </c>
      <c r="E427">
        <v>2</v>
      </c>
      <c r="F427">
        <v>810</v>
      </c>
      <c r="G427" s="14">
        <v>45853</v>
      </c>
      <c r="H427" s="14">
        <v>46014</v>
      </c>
      <c r="I427">
        <v>162</v>
      </c>
      <c r="J427" s="15">
        <v>1200</v>
      </c>
      <c r="K427" s="16">
        <f t="shared" si="12"/>
        <v>1.4814814814814814</v>
      </c>
      <c r="L427" s="15">
        <v>1000</v>
      </c>
      <c r="M427" s="16">
        <f t="shared" si="13"/>
        <v>1.2345679012345678</v>
      </c>
      <c r="N427" t="s">
        <v>219</v>
      </c>
    </row>
    <row r="428" spans="1:14" x14ac:dyDescent="0.25">
      <c r="A428" t="s">
        <v>477</v>
      </c>
      <c r="B428" t="s">
        <v>587</v>
      </c>
      <c r="C428" t="s">
        <v>942</v>
      </c>
      <c r="D428">
        <v>3</v>
      </c>
      <c r="E428">
        <v>2</v>
      </c>
      <c r="F428">
        <v>1244</v>
      </c>
      <c r="G428" s="14">
        <v>45928</v>
      </c>
      <c r="H428" s="14">
        <v>46014</v>
      </c>
      <c r="I428">
        <v>87</v>
      </c>
      <c r="J428" s="15">
        <v>1396</v>
      </c>
      <c r="K428" s="16">
        <f t="shared" si="12"/>
        <v>1.1221864951768488</v>
      </c>
      <c r="L428" s="15">
        <v>1396</v>
      </c>
      <c r="M428" s="16">
        <f t="shared" si="13"/>
        <v>1.1221864951768488</v>
      </c>
      <c r="N428" t="s">
        <v>219</v>
      </c>
    </row>
    <row r="429" spans="1:14" x14ac:dyDescent="0.25">
      <c r="A429" t="s">
        <v>454</v>
      </c>
      <c r="B429" t="s">
        <v>455</v>
      </c>
      <c r="C429" t="s">
        <v>943</v>
      </c>
      <c r="D429">
        <v>2</v>
      </c>
      <c r="E429">
        <v>2</v>
      </c>
      <c r="F429">
        <v>1001</v>
      </c>
      <c r="G429" s="14">
        <v>45975</v>
      </c>
      <c r="H429" s="14">
        <v>46014</v>
      </c>
      <c r="I429">
        <v>40</v>
      </c>
      <c r="J429" s="15">
        <v>1500</v>
      </c>
      <c r="K429" s="16">
        <f t="shared" si="12"/>
        <v>1.4985014985014986</v>
      </c>
      <c r="L429" s="15">
        <v>1500</v>
      </c>
      <c r="M429" s="16">
        <f t="shared" si="13"/>
        <v>1.4985014985014986</v>
      </c>
      <c r="N429" t="s">
        <v>219</v>
      </c>
    </row>
    <row r="430" spans="1:14" x14ac:dyDescent="0.25">
      <c r="A430" t="s">
        <v>486</v>
      </c>
      <c r="B430" t="s">
        <v>591</v>
      </c>
      <c r="C430" t="s">
        <v>944</v>
      </c>
      <c r="D430">
        <v>2</v>
      </c>
      <c r="E430">
        <v>1</v>
      </c>
      <c r="F430">
        <v>860</v>
      </c>
      <c r="G430" s="14">
        <v>45923</v>
      </c>
      <c r="H430" s="14">
        <v>46014</v>
      </c>
      <c r="I430">
        <v>92</v>
      </c>
      <c r="J430" s="15">
        <v>1479</v>
      </c>
      <c r="K430" s="16">
        <f t="shared" si="12"/>
        <v>1.7197674418604652</v>
      </c>
      <c r="L430" s="15">
        <v>1251</v>
      </c>
      <c r="M430" s="16">
        <f t="shared" si="13"/>
        <v>1.4546511627906977</v>
      </c>
      <c r="N430" t="s">
        <v>219</v>
      </c>
    </row>
    <row r="431" spans="1:14" x14ac:dyDescent="0.25">
      <c r="A431" t="s">
        <v>462</v>
      </c>
      <c r="B431" t="s">
        <v>463</v>
      </c>
      <c r="C431" t="s">
        <v>945</v>
      </c>
      <c r="D431">
        <v>2</v>
      </c>
      <c r="E431">
        <v>2</v>
      </c>
      <c r="F431">
        <v>958</v>
      </c>
      <c r="G431" s="14">
        <v>45993</v>
      </c>
      <c r="H431" s="14">
        <v>46015</v>
      </c>
      <c r="I431">
        <v>23</v>
      </c>
      <c r="J431" s="15">
        <v>1500</v>
      </c>
      <c r="K431" s="16">
        <f t="shared" si="12"/>
        <v>1.5657620041753653</v>
      </c>
      <c r="L431" s="15">
        <v>1125</v>
      </c>
      <c r="M431" s="16">
        <f t="shared" si="13"/>
        <v>1.1743215031315239</v>
      </c>
      <c r="N431" t="s">
        <v>219</v>
      </c>
    </row>
    <row r="432" spans="1:14" x14ac:dyDescent="0.25">
      <c r="A432" t="s">
        <v>462</v>
      </c>
      <c r="B432" t="s">
        <v>463</v>
      </c>
      <c r="C432" t="s">
        <v>946</v>
      </c>
      <c r="D432">
        <v>2</v>
      </c>
      <c r="E432">
        <v>2</v>
      </c>
      <c r="F432">
        <v>958</v>
      </c>
      <c r="G432" s="14">
        <v>45945</v>
      </c>
      <c r="H432" s="14">
        <v>46015</v>
      </c>
      <c r="I432">
        <v>71</v>
      </c>
      <c r="J432" s="15">
        <v>1700</v>
      </c>
      <c r="K432" s="16">
        <f t="shared" si="12"/>
        <v>1.7745302713987474</v>
      </c>
      <c r="L432" s="15">
        <v>1275</v>
      </c>
      <c r="M432" s="16">
        <f t="shared" si="13"/>
        <v>1.3308977035490606</v>
      </c>
      <c r="N432" t="s">
        <v>219</v>
      </c>
    </row>
    <row r="433" spans="1:14" x14ac:dyDescent="0.25">
      <c r="A433" t="s">
        <v>465</v>
      </c>
      <c r="B433" t="s">
        <v>502</v>
      </c>
      <c r="C433" t="s">
        <v>947</v>
      </c>
      <c r="D433">
        <v>2</v>
      </c>
      <c r="E433">
        <v>2</v>
      </c>
      <c r="F433">
        <v>1011</v>
      </c>
      <c r="G433" s="14">
        <v>45968</v>
      </c>
      <c r="H433" s="14">
        <v>46015</v>
      </c>
      <c r="I433">
        <v>48</v>
      </c>
      <c r="J433" s="15">
        <v>1435</v>
      </c>
      <c r="K433" s="16">
        <f t="shared" si="12"/>
        <v>1.4193867457962412</v>
      </c>
      <c r="L433" s="15">
        <v>1246</v>
      </c>
      <c r="M433" s="16">
        <f t="shared" si="13"/>
        <v>1.2324431256181998</v>
      </c>
      <c r="N433" t="s">
        <v>219</v>
      </c>
    </row>
    <row r="434" spans="1:14" x14ac:dyDescent="0.25">
      <c r="A434" t="s">
        <v>451</v>
      </c>
      <c r="B434" t="s">
        <v>460</v>
      </c>
      <c r="C434" t="s">
        <v>948</v>
      </c>
      <c r="D434">
        <v>1</v>
      </c>
      <c r="E434">
        <v>1</v>
      </c>
      <c r="F434">
        <v>726</v>
      </c>
      <c r="G434" s="14">
        <v>45981</v>
      </c>
      <c r="H434" s="14">
        <v>46016</v>
      </c>
      <c r="I434">
        <v>36</v>
      </c>
      <c r="J434" s="15">
        <v>1000</v>
      </c>
      <c r="K434" s="16">
        <f t="shared" si="12"/>
        <v>1.3774104683195592</v>
      </c>
      <c r="L434" s="15">
        <v>833</v>
      </c>
      <c r="M434" s="16">
        <f t="shared" si="13"/>
        <v>1.1473829201101928</v>
      </c>
      <c r="N434" t="s">
        <v>219</v>
      </c>
    </row>
    <row r="435" spans="1:14" x14ac:dyDescent="0.25">
      <c r="A435" t="s">
        <v>472</v>
      </c>
      <c r="B435" t="s">
        <v>496</v>
      </c>
      <c r="C435" t="s">
        <v>949</v>
      </c>
      <c r="D435">
        <v>1</v>
      </c>
      <c r="E435">
        <v>1</v>
      </c>
      <c r="F435">
        <v>625</v>
      </c>
      <c r="G435" s="14">
        <v>45856</v>
      </c>
      <c r="H435" s="14">
        <v>46016</v>
      </c>
      <c r="I435">
        <v>161</v>
      </c>
      <c r="J435" s="15">
        <v>1098</v>
      </c>
      <c r="K435" s="16">
        <f t="shared" si="12"/>
        <v>1.7567999999999999</v>
      </c>
      <c r="L435" s="15">
        <v>941</v>
      </c>
      <c r="M435" s="16">
        <f t="shared" si="13"/>
        <v>1.5056</v>
      </c>
      <c r="N435" t="s">
        <v>219</v>
      </c>
    </row>
    <row r="436" spans="1:14" x14ac:dyDescent="0.25">
      <c r="A436" t="s">
        <v>465</v>
      </c>
      <c r="B436" t="s">
        <v>822</v>
      </c>
      <c r="C436" t="s">
        <v>950</v>
      </c>
      <c r="D436">
        <v>2</v>
      </c>
      <c r="E436">
        <v>1</v>
      </c>
      <c r="F436">
        <v>912</v>
      </c>
      <c r="G436" s="14">
        <v>45887</v>
      </c>
      <c r="H436" s="14">
        <v>46019</v>
      </c>
      <c r="I436">
        <v>133</v>
      </c>
      <c r="J436" s="15">
        <v>1260</v>
      </c>
      <c r="K436" s="16">
        <f t="shared" si="12"/>
        <v>1.381578947368421</v>
      </c>
      <c r="L436" s="15">
        <v>1081</v>
      </c>
      <c r="M436" s="16">
        <f t="shared" si="13"/>
        <v>1.1853070175438596</v>
      </c>
      <c r="N436" t="s">
        <v>219</v>
      </c>
    </row>
    <row r="437" spans="1:14" x14ac:dyDescent="0.25">
      <c r="A437" t="s">
        <v>454</v>
      </c>
      <c r="B437" t="s">
        <v>481</v>
      </c>
      <c r="C437" t="s">
        <v>951</v>
      </c>
      <c r="D437">
        <v>2</v>
      </c>
      <c r="E437">
        <v>2</v>
      </c>
      <c r="F437">
        <v>1001</v>
      </c>
      <c r="G437" s="14">
        <v>45958</v>
      </c>
      <c r="H437" s="14">
        <v>46020</v>
      </c>
      <c r="I437">
        <v>63</v>
      </c>
      <c r="J437" s="15">
        <v>1450</v>
      </c>
      <c r="K437" s="16">
        <f t="shared" si="12"/>
        <v>1.4485514485514486</v>
      </c>
      <c r="L437" s="15">
        <v>1450</v>
      </c>
      <c r="M437" s="16">
        <f t="shared" si="13"/>
        <v>1.4485514485514486</v>
      </c>
      <c r="N437" t="s">
        <v>219</v>
      </c>
    </row>
    <row r="438" spans="1:14" x14ac:dyDescent="0.25">
      <c r="A438" t="s">
        <v>454</v>
      </c>
      <c r="B438" t="s">
        <v>455</v>
      </c>
      <c r="C438" t="s">
        <v>952</v>
      </c>
      <c r="D438">
        <v>2</v>
      </c>
      <c r="E438">
        <v>2</v>
      </c>
      <c r="F438">
        <v>1001</v>
      </c>
      <c r="G438" s="14">
        <v>45972</v>
      </c>
      <c r="H438" s="14">
        <v>46020</v>
      </c>
      <c r="I438">
        <v>49</v>
      </c>
      <c r="J438" s="15">
        <v>1500</v>
      </c>
      <c r="K438" s="16">
        <f t="shared" si="12"/>
        <v>1.4985014985014986</v>
      </c>
      <c r="L438" s="15">
        <v>1500</v>
      </c>
      <c r="M438" s="16">
        <f t="shared" si="13"/>
        <v>1.4985014985014986</v>
      </c>
      <c r="N438" t="s">
        <v>219</v>
      </c>
    </row>
    <row r="439" spans="1:14" x14ac:dyDescent="0.25">
      <c r="A439" t="s">
        <v>454</v>
      </c>
      <c r="B439" t="s">
        <v>938</v>
      </c>
      <c r="C439" t="s">
        <v>953</v>
      </c>
      <c r="D439">
        <v>3</v>
      </c>
      <c r="E439">
        <v>2</v>
      </c>
      <c r="F439">
        <v>1103</v>
      </c>
      <c r="G439" s="14">
        <v>45958</v>
      </c>
      <c r="H439" s="14">
        <v>46020</v>
      </c>
      <c r="I439">
        <v>63</v>
      </c>
      <c r="J439" s="15">
        <v>1565</v>
      </c>
      <c r="K439" s="16">
        <f t="shared" si="12"/>
        <v>1.4188576609247507</v>
      </c>
      <c r="L439" s="15">
        <v>1565</v>
      </c>
      <c r="M439" s="16">
        <f t="shared" si="13"/>
        <v>1.4188576609247507</v>
      </c>
      <c r="N439" t="s">
        <v>219</v>
      </c>
    </row>
    <row r="440" spans="1:14" x14ac:dyDescent="0.25">
      <c r="A440" t="s">
        <v>472</v>
      </c>
      <c r="B440" t="s">
        <v>496</v>
      </c>
      <c r="C440" t="s">
        <v>954</v>
      </c>
      <c r="D440">
        <v>1</v>
      </c>
      <c r="E440">
        <v>1</v>
      </c>
      <c r="F440">
        <v>625</v>
      </c>
      <c r="G440" s="14">
        <v>45922</v>
      </c>
      <c r="H440" s="14">
        <v>46021</v>
      </c>
      <c r="I440">
        <v>100</v>
      </c>
      <c r="J440" s="15">
        <v>1198</v>
      </c>
      <c r="K440" s="16">
        <f t="shared" si="12"/>
        <v>1.9168000000000001</v>
      </c>
      <c r="L440" s="15">
        <v>1027</v>
      </c>
      <c r="M440" s="16">
        <f t="shared" si="13"/>
        <v>1.6432</v>
      </c>
      <c r="N440" t="s">
        <v>219</v>
      </c>
    </row>
    <row r="441" spans="1:14" x14ac:dyDescent="0.25">
      <c r="A441" t="s">
        <v>457</v>
      </c>
      <c r="B441" t="s">
        <v>525</v>
      </c>
      <c r="C441" t="s">
        <v>955</v>
      </c>
      <c r="D441">
        <v>2</v>
      </c>
      <c r="E441">
        <v>2</v>
      </c>
      <c r="F441">
        <v>1001</v>
      </c>
      <c r="G441" s="14">
        <v>45883</v>
      </c>
      <c r="H441" s="14">
        <v>46021</v>
      </c>
      <c r="I441">
        <v>139</v>
      </c>
      <c r="J441" s="15">
        <v>1405</v>
      </c>
      <c r="K441" s="16">
        <f t="shared" si="12"/>
        <v>1.4035964035964037</v>
      </c>
      <c r="L441" s="15">
        <v>1189</v>
      </c>
      <c r="M441" s="16">
        <f t="shared" si="13"/>
        <v>1.1878121878121879</v>
      </c>
      <c r="N441" t="s">
        <v>219</v>
      </c>
    </row>
    <row r="442" spans="1:14" x14ac:dyDescent="0.25">
      <c r="A442" t="s">
        <v>465</v>
      </c>
      <c r="B442" t="s">
        <v>567</v>
      </c>
      <c r="C442" t="s">
        <v>956</v>
      </c>
      <c r="D442">
        <v>1</v>
      </c>
      <c r="E442">
        <v>1</v>
      </c>
      <c r="F442">
        <v>757</v>
      </c>
      <c r="G442" s="14">
        <v>45911</v>
      </c>
      <c r="H442" s="14">
        <v>46021</v>
      </c>
      <c r="I442">
        <v>111</v>
      </c>
      <c r="J442" s="15">
        <v>1233</v>
      </c>
      <c r="K442" s="16">
        <f t="shared" si="12"/>
        <v>1.6287978863936592</v>
      </c>
      <c r="L442" s="15">
        <v>1070</v>
      </c>
      <c r="M442" s="16">
        <f t="shared" si="13"/>
        <v>1.4134742404227212</v>
      </c>
      <c r="N442" t="s">
        <v>219</v>
      </c>
    </row>
    <row r="443" spans="1:14" x14ac:dyDescent="0.25">
      <c r="A443" t="s">
        <v>465</v>
      </c>
      <c r="B443" t="s">
        <v>603</v>
      </c>
      <c r="C443" t="s">
        <v>957</v>
      </c>
      <c r="D443">
        <v>2</v>
      </c>
      <c r="E443">
        <v>2</v>
      </c>
      <c r="F443">
        <v>1011</v>
      </c>
      <c r="G443" s="14">
        <v>45938</v>
      </c>
      <c r="H443" s="14">
        <v>46021</v>
      </c>
      <c r="I443">
        <v>84</v>
      </c>
      <c r="J443" s="15">
        <v>1325</v>
      </c>
      <c r="K443" s="16">
        <f t="shared" si="12"/>
        <v>1.3105835806132542</v>
      </c>
      <c r="L443" s="15">
        <v>1150</v>
      </c>
      <c r="M443" s="16">
        <f t="shared" si="13"/>
        <v>1.1374876360039565</v>
      </c>
      <c r="N443" t="s">
        <v>219</v>
      </c>
    </row>
    <row r="444" spans="1:14" x14ac:dyDescent="0.25">
      <c r="A444" t="s">
        <v>462</v>
      </c>
      <c r="B444" t="s">
        <v>475</v>
      </c>
      <c r="C444" t="s">
        <v>958</v>
      </c>
      <c r="D444">
        <v>2</v>
      </c>
      <c r="E444">
        <v>2</v>
      </c>
      <c r="F444">
        <v>1029</v>
      </c>
      <c r="G444" s="14">
        <v>45875</v>
      </c>
      <c r="H444" s="14">
        <v>46022</v>
      </c>
      <c r="I444">
        <v>148</v>
      </c>
      <c r="J444" s="15">
        <v>1575</v>
      </c>
      <c r="K444" s="16">
        <f t="shared" si="12"/>
        <v>1.5306122448979591</v>
      </c>
      <c r="L444" s="15">
        <v>1181</v>
      </c>
      <c r="M444" s="16">
        <f t="shared" si="13"/>
        <v>1.1477162293488825</v>
      </c>
      <c r="N444" t="s">
        <v>219</v>
      </c>
    </row>
    <row r="445" spans="1:14" x14ac:dyDescent="0.25">
      <c r="A445" t="s">
        <v>486</v>
      </c>
      <c r="B445" t="s">
        <v>659</v>
      </c>
      <c r="C445" t="s">
        <v>959</v>
      </c>
      <c r="D445">
        <v>2</v>
      </c>
      <c r="E445">
        <v>1</v>
      </c>
      <c r="F445">
        <v>860</v>
      </c>
      <c r="G445" s="14">
        <v>45889</v>
      </c>
      <c r="H445" s="14">
        <v>46022</v>
      </c>
      <c r="I445">
        <v>134</v>
      </c>
      <c r="J445" s="15">
        <v>1444</v>
      </c>
      <c r="K445" s="16">
        <f t="shared" si="12"/>
        <v>1.6790697674418604</v>
      </c>
      <c r="L445" s="15">
        <v>1239</v>
      </c>
      <c r="M445" s="16">
        <f t="shared" si="13"/>
        <v>1.4406976744186046</v>
      </c>
      <c r="N445" t="s">
        <v>219</v>
      </c>
    </row>
    <row r="446" spans="1:14" x14ac:dyDescent="0.25">
      <c r="A446" t="s">
        <v>462</v>
      </c>
      <c r="B446" t="s">
        <v>470</v>
      </c>
      <c r="C446" t="s">
        <v>960</v>
      </c>
      <c r="D446">
        <v>1</v>
      </c>
      <c r="E446">
        <v>1</v>
      </c>
      <c r="F446">
        <v>732</v>
      </c>
      <c r="G446" s="14">
        <v>45700</v>
      </c>
      <c r="H446" s="14">
        <v>46025</v>
      </c>
      <c r="I446">
        <v>326</v>
      </c>
      <c r="J446" s="15">
        <v>1500</v>
      </c>
      <c r="K446" s="16">
        <f t="shared" si="12"/>
        <v>2.0491803278688523</v>
      </c>
      <c r="L446" s="15">
        <v>1125</v>
      </c>
      <c r="M446" s="16">
        <f t="shared" si="13"/>
        <v>1.5368852459016393</v>
      </c>
      <c r="N446" t="s">
        <v>242</v>
      </c>
    </row>
    <row r="447" spans="1:14" x14ac:dyDescent="0.25">
      <c r="A447" t="s">
        <v>462</v>
      </c>
      <c r="B447" t="s">
        <v>463</v>
      </c>
      <c r="C447" t="s">
        <v>961</v>
      </c>
      <c r="D447">
        <v>2</v>
      </c>
      <c r="E447">
        <v>2</v>
      </c>
      <c r="F447">
        <v>958</v>
      </c>
      <c r="G447" s="14">
        <v>46015</v>
      </c>
      <c r="H447" s="14">
        <v>46025</v>
      </c>
      <c r="I447">
        <v>11</v>
      </c>
      <c r="J447" s="15">
        <v>1650</v>
      </c>
      <c r="K447" s="16">
        <f t="shared" si="12"/>
        <v>1.7223382045929019</v>
      </c>
      <c r="L447" s="15">
        <v>1238</v>
      </c>
      <c r="M447" s="16">
        <f t="shared" si="13"/>
        <v>1.292275574112735</v>
      </c>
      <c r="N447" t="s">
        <v>242</v>
      </c>
    </row>
    <row r="448" spans="1:14" x14ac:dyDescent="0.25">
      <c r="A448" t="s">
        <v>457</v>
      </c>
      <c r="B448" t="s">
        <v>562</v>
      </c>
      <c r="C448" t="s">
        <v>962</v>
      </c>
      <c r="D448">
        <v>2</v>
      </c>
      <c r="E448">
        <v>2</v>
      </c>
      <c r="F448">
        <v>1001</v>
      </c>
      <c r="G448" s="14">
        <v>46003</v>
      </c>
      <c r="H448" s="14">
        <v>46026</v>
      </c>
      <c r="I448">
        <v>24</v>
      </c>
      <c r="J448" s="15">
        <v>1295</v>
      </c>
      <c r="K448" s="16">
        <f t="shared" si="12"/>
        <v>1.2937062937062938</v>
      </c>
      <c r="L448" s="15">
        <v>1096</v>
      </c>
      <c r="M448" s="16">
        <f t="shared" si="13"/>
        <v>1.0949050949050949</v>
      </c>
      <c r="N448" t="s">
        <v>242</v>
      </c>
    </row>
    <row r="449" spans="1:14" x14ac:dyDescent="0.25">
      <c r="A449" t="s">
        <v>472</v>
      </c>
      <c r="B449" t="s">
        <v>496</v>
      </c>
      <c r="C449" t="s">
        <v>963</v>
      </c>
      <c r="D449">
        <v>1</v>
      </c>
      <c r="E449">
        <v>1</v>
      </c>
      <c r="F449">
        <v>625</v>
      </c>
      <c r="G449" s="14">
        <v>45925</v>
      </c>
      <c r="H449" s="14">
        <v>46028</v>
      </c>
      <c r="I449">
        <v>104</v>
      </c>
      <c r="J449" s="15">
        <v>1098</v>
      </c>
      <c r="K449" s="16">
        <f t="shared" si="12"/>
        <v>1.7567999999999999</v>
      </c>
      <c r="L449" s="15">
        <v>929</v>
      </c>
      <c r="M449" s="16">
        <f t="shared" si="13"/>
        <v>1.4863999999999999</v>
      </c>
      <c r="N449" t="s">
        <v>242</v>
      </c>
    </row>
    <row r="450" spans="1:14" x14ac:dyDescent="0.25">
      <c r="A450" t="s">
        <v>451</v>
      </c>
      <c r="B450" t="s">
        <v>452</v>
      </c>
      <c r="C450" t="s">
        <v>964</v>
      </c>
      <c r="D450">
        <v>2</v>
      </c>
      <c r="E450">
        <v>2</v>
      </c>
      <c r="F450">
        <v>903</v>
      </c>
      <c r="G450" s="14">
        <v>45361</v>
      </c>
      <c r="H450" s="14">
        <v>46029</v>
      </c>
      <c r="I450">
        <v>669</v>
      </c>
      <c r="J450" s="15">
        <v>1200</v>
      </c>
      <c r="K450" s="16">
        <f t="shared" ref="K450:K513" si="14">IFERROR(J450/F450,0)</f>
        <v>1.3289036544850499</v>
      </c>
      <c r="L450" s="15">
        <v>1015</v>
      </c>
      <c r="M450" s="16">
        <f t="shared" ref="M450:M513" si="15">IFERROR(L450/F450,0)</f>
        <v>1.124031007751938</v>
      </c>
      <c r="N450" t="s">
        <v>242</v>
      </c>
    </row>
    <row r="451" spans="1:14" x14ac:dyDescent="0.25">
      <c r="A451" t="s">
        <v>454</v>
      </c>
      <c r="B451" t="s">
        <v>455</v>
      </c>
      <c r="C451" t="s">
        <v>965</v>
      </c>
      <c r="D451">
        <v>2</v>
      </c>
      <c r="E451">
        <v>2</v>
      </c>
      <c r="F451">
        <v>1001</v>
      </c>
      <c r="G451" s="14">
        <v>46021</v>
      </c>
      <c r="H451" s="14">
        <v>46029</v>
      </c>
      <c r="I451">
        <v>9</v>
      </c>
      <c r="J451" s="15">
        <v>1200</v>
      </c>
      <c r="K451" s="16">
        <f t="shared" si="14"/>
        <v>1.1988011988011988</v>
      </c>
      <c r="L451" s="15">
        <v>1200</v>
      </c>
      <c r="M451" s="16">
        <f t="shared" si="15"/>
        <v>1.1988011988011988</v>
      </c>
      <c r="N451" t="s">
        <v>242</v>
      </c>
    </row>
    <row r="452" spans="1:14" x14ac:dyDescent="0.25">
      <c r="A452" t="s">
        <v>454</v>
      </c>
      <c r="B452" t="s">
        <v>481</v>
      </c>
      <c r="C452" t="s">
        <v>966</v>
      </c>
      <c r="D452">
        <v>2</v>
      </c>
      <c r="E452">
        <v>2</v>
      </c>
      <c r="F452">
        <v>1001</v>
      </c>
      <c r="G452" s="14">
        <v>46007</v>
      </c>
      <c r="H452" s="14">
        <v>46029</v>
      </c>
      <c r="I452">
        <v>23</v>
      </c>
      <c r="J452" s="15">
        <v>1450</v>
      </c>
      <c r="K452" s="16">
        <f t="shared" si="14"/>
        <v>1.4485514485514486</v>
      </c>
      <c r="L452" s="15">
        <v>1450</v>
      </c>
      <c r="M452" s="16">
        <f t="shared" si="15"/>
        <v>1.4485514485514486</v>
      </c>
      <c r="N452" t="s">
        <v>242</v>
      </c>
    </row>
    <row r="453" spans="1:14" x14ac:dyDescent="0.25">
      <c r="A453" t="s">
        <v>454</v>
      </c>
      <c r="B453" t="s">
        <v>938</v>
      </c>
      <c r="C453" t="s">
        <v>967</v>
      </c>
      <c r="D453">
        <v>3</v>
      </c>
      <c r="E453">
        <v>2</v>
      </c>
      <c r="F453">
        <v>1103</v>
      </c>
      <c r="G453" s="14">
        <v>46021</v>
      </c>
      <c r="H453" s="14">
        <v>46029</v>
      </c>
      <c r="I453">
        <v>9</v>
      </c>
      <c r="J453" s="15">
        <v>1265</v>
      </c>
      <c r="K453" s="16">
        <f t="shared" si="14"/>
        <v>1.1468721668177697</v>
      </c>
      <c r="L453" s="15">
        <v>1265</v>
      </c>
      <c r="M453" s="16">
        <f t="shared" si="15"/>
        <v>1.1468721668177697</v>
      </c>
      <c r="N453" t="s">
        <v>242</v>
      </c>
    </row>
    <row r="454" spans="1:14" x14ac:dyDescent="0.25">
      <c r="A454" t="s">
        <v>454</v>
      </c>
      <c r="B454" t="s">
        <v>776</v>
      </c>
      <c r="C454" t="s">
        <v>968</v>
      </c>
      <c r="D454">
        <v>3</v>
      </c>
      <c r="E454">
        <v>2</v>
      </c>
      <c r="F454">
        <v>1103</v>
      </c>
      <c r="G454" s="14">
        <v>46021</v>
      </c>
      <c r="H454" s="14">
        <v>46029</v>
      </c>
      <c r="I454">
        <v>9</v>
      </c>
      <c r="J454" s="15">
        <v>1465</v>
      </c>
      <c r="K454" s="16">
        <f t="shared" si="14"/>
        <v>1.328195829555757</v>
      </c>
      <c r="L454" s="15">
        <v>1465</v>
      </c>
      <c r="M454" s="16">
        <f t="shared" si="15"/>
        <v>1.328195829555757</v>
      </c>
      <c r="N454" t="s">
        <v>242</v>
      </c>
    </row>
    <row r="455" spans="1:14" x14ac:dyDescent="0.25">
      <c r="A455" t="s">
        <v>451</v>
      </c>
      <c r="B455" t="s">
        <v>533</v>
      </c>
      <c r="C455" t="s">
        <v>969</v>
      </c>
      <c r="D455">
        <v>1</v>
      </c>
      <c r="E455">
        <v>1</v>
      </c>
      <c r="F455">
        <v>600</v>
      </c>
      <c r="G455" s="14">
        <v>45691</v>
      </c>
      <c r="H455" s="14">
        <v>46030</v>
      </c>
      <c r="I455">
        <v>340</v>
      </c>
      <c r="J455" s="15">
        <v>1000</v>
      </c>
      <c r="K455" s="16">
        <f t="shared" si="14"/>
        <v>1.6666666666666667</v>
      </c>
      <c r="L455" s="15">
        <v>833</v>
      </c>
      <c r="M455" s="16">
        <f t="shared" si="15"/>
        <v>1.3883333333333334</v>
      </c>
      <c r="N455" t="s">
        <v>242</v>
      </c>
    </row>
    <row r="456" spans="1:14" x14ac:dyDescent="0.25">
      <c r="A456" t="s">
        <v>451</v>
      </c>
      <c r="B456" t="s">
        <v>460</v>
      </c>
      <c r="C456" t="s">
        <v>970</v>
      </c>
      <c r="D456">
        <v>1</v>
      </c>
      <c r="E456">
        <v>1</v>
      </c>
      <c r="F456">
        <v>726</v>
      </c>
      <c r="G456" s="14">
        <v>45835</v>
      </c>
      <c r="H456" s="14">
        <v>46030</v>
      </c>
      <c r="I456">
        <v>196</v>
      </c>
      <c r="J456" s="15">
        <v>1000</v>
      </c>
      <c r="K456" s="16">
        <f t="shared" si="14"/>
        <v>1.3774104683195592</v>
      </c>
      <c r="L456" s="15">
        <v>833</v>
      </c>
      <c r="M456" s="16">
        <f t="shared" si="15"/>
        <v>1.1473829201101928</v>
      </c>
      <c r="N456" t="s">
        <v>242</v>
      </c>
    </row>
    <row r="457" spans="1:14" x14ac:dyDescent="0.25">
      <c r="A457" t="s">
        <v>451</v>
      </c>
      <c r="B457" t="s">
        <v>468</v>
      </c>
      <c r="C457" t="s">
        <v>971</v>
      </c>
      <c r="D457">
        <v>2</v>
      </c>
      <c r="E457">
        <v>2</v>
      </c>
      <c r="F457">
        <v>810</v>
      </c>
      <c r="G457" s="14">
        <v>45931</v>
      </c>
      <c r="H457" s="14">
        <v>46030</v>
      </c>
      <c r="I457">
        <v>100</v>
      </c>
      <c r="J457" s="15">
        <v>1200</v>
      </c>
      <c r="K457" s="16">
        <f t="shared" si="14"/>
        <v>1.4814814814814814</v>
      </c>
      <c r="L457" s="15">
        <v>1000</v>
      </c>
      <c r="M457" s="16">
        <f t="shared" si="15"/>
        <v>1.2345679012345678</v>
      </c>
      <c r="N457" t="s">
        <v>242</v>
      </c>
    </row>
    <row r="458" spans="1:14" x14ac:dyDescent="0.25">
      <c r="A458" t="s">
        <v>451</v>
      </c>
      <c r="B458" t="s">
        <v>452</v>
      </c>
      <c r="C458" t="s">
        <v>972</v>
      </c>
      <c r="D458">
        <v>2</v>
      </c>
      <c r="E458">
        <v>2</v>
      </c>
      <c r="F458">
        <v>903</v>
      </c>
      <c r="G458" s="14">
        <v>46000</v>
      </c>
      <c r="H458" s="14">
        <v>46030</v>
      </c>
      <c r="I458">
        <v>31</v>
      </c>
      <c r="J458" s="15">
        <v>1200</v>
      </c>
      <c r="K458" s="16">
        <f t="shared" si="14"/>
        <v>1.3289036544850499</v>
      </c>
      <c r="L458" s="15">
        <v>1000</v>
      </c>
      <c r="M458" s="16">
        <f t="shared" si="15"/>
        <v>1.1074197120708749</v>
      </c>
      <c r="N458" t="s">
        <v>242</v>
      </c>
    </row>
    <row r="459" spans="1:14" x14ac:dyDescent="0.25">
      <c r="A459" t="s">
        <v>451</v>
      </c>
      <c r="B459" t="s">
        <v>452</v>
      </c>
      <c r="C459" t="s">
        <v>973</v>
      </c>
      <c r="D459">
        <v>2</v>
      </c>
      <c r="E459">
        <v>2</v>
      </c>
      <c r="F459">
        <v>903</v>
      </c>
      <c r="G459" s="14">
        <v>45814</v>
      </c>
      <c r="H459" s="14">
        <v>46030</v>
      </c>
      <c r="I459">
        <v>217</v>
      </c>
      <c r="J459" s="15">
        <v>1200</v>
      </c>
      <c r="K459" s="16">
        <f t="shared" si="14"/>
        <v>1.3289036544850499</v>
      </c>
      <c r="L459" s="15">
        <v>1000</v>
      </c>
      <c r="M459" s="16">
        <f t="shared" si="15"/>
        <v>1.1074197120708749</v>
      </c>
      <c r="N459" t="s">
        <v>242</v>
      </c>
    </row>
    <row r="460" spans="1:14" x14ac:dyDescent="0.25">
      <c r="A460" t="s">
        <v>451</v>
      </c>
      <c r="B460" t="s">
        <v>452</v>
      </c>
      <c r="C460" t="s">
        <v>974</v>
      </c>
      <c r="D460">
        <v>2</v>
      </c>
      <c r="E460">
        <v>2</v>
      </c>
      <c r="F460">
        <v>903</v>
      </c>
      <c r="G460" s="14">
        <v>46029</v>
      </c>
      <c r="H460" s="14">
        <v>46030</v>
      </c>
      <c r="I460">
        <v>2</v>
      </c>
      <c r="J460" s="15">
        <v>1200</v>
      </c>
      <c r="K460" s="16">
        <f t="shared" si="14"/>
        <v>1.3289036544850499</v>
      </c>
      <c r="L460" s="15">
        <v>1000</v>
      </c>
      <c r="M460" s="16">
        <f t="shared" si="15"/>
        <v>1.1074197120708749</v>
      </c>
      <c r="N460" t="s">
        <v>242</v>
      </c>
    </row>
    <row r="461" spans="1:14" x14ac:dyDescent="0.25">
      <c r="A461" t="s">
        <v>477</v>
      </c>
      <c r="B461" t="s">
        <v>609</v>
      </c>
      <c r="C461" t="s">
        <v>975</v>
      </c>
      <c r="D461">
        <v>2</v>
      </c>
      <c r="E461">
        <v>2</v>
      </c>
      <c r="F461">
        <v>1050</v>
      </c>
      <c r="G461" s="14">
        <v>45867</v>
      </c>
      <c r="H461" s="14">
        <v>46030</v>
      </c>
      <c r="I461">
        <v>164</v>
      </c>
      <c r="J461" s="15">
        <v>1217</v>
      </c>
      <c r="K461" s="16">
        <f t="shared" si="14"/>
        <v>1.1590476190476191</v>
      </c>
      <c r="L461" s="15">
        <v>1217</v>
      </c>
      <c r="M461" s="16">
        <f t="shared" si="15"/>
        <v>1.1590476190476191</v>
      </c>
      <c r="N461" t="s">
        <v>242</v>
      </c>
    </row>
    <row r="462" spans="1:14" x14ac:dyDescent="0.25">
      <c r="A462" t="s">
        <v>454</v>
      </c>
      <c r="B462" t="s">
        <v>455</v>
      </c>
      <c r="C462" t="s">
        <v>976</v>
      </c>
      <c r="D462">
        <v>2</v>
      </c>
      <c r="E462">
        <v>2</v>
      </c>
      <c r="F462">
        <v>1001</v>
      </c>
      <c r="G462" s="14">
        <v>46021</v>
      </c>
      <c r="H462" s="14">
        <v>46030</v>
      </c>
      <c r="I462">
        <v>10</v>
      </c>
      <c r="J462" s="15">
        <v>1225</v>
      </c>
      <c r="K462" s="16">
        <f t="shared" si="14"/>
        <v>1.2237762237762237</v>
      </c>
      <c r="L462" s="15">
        <v>1225</v>
      </c>
      <c r="M462" s="16">
        <f t="shared" si="15"/>
        <v>1.2237762237762237</v>
      </c>
      <c r="N462" t="s">
        <v>242</v>
      </c>
    </row>
    <row r="463" spans="1:14" x14ac:dyDescent="0.25">
      <c r="A463" t="s">
        <v>454</v>
      </c>
      <c r="B463" t="s">
        <v>905</v>
      </c>
      <c r="C463" t="s">
        <v>576</v>
      </c>
      <c r="D463">
        <v>2</v>
      </c>
      <c r="E463">
        <v>2</v>
      </c>
      <c r="F463">
        <v>1001</v>
      </c>
      <c r="G463" s="14">
        <v>46007</v>
      </c>
      <c r="H463" s="14">
        <v>46030</v>
      </c>
      <c r="I463">
        <v>24</v>
      </c>
      <c r="J463" s="15">
        <v>1550</v>
      </c>
      <c r="K463" s="16">
        <f t="shared" si="14"/>
        <v>1.5484515484515484</v>
      </c>
      <c r="L463" s="15">
        <v>1550</v>
      </c>
      <c r="M463" s="16">
        <f t="shared" si="15"/>
        <v>1.5484515484515484</v>
      </c>
      <c r="N463" t="s">
        <v>242</v>
      </c>
    </row>
    <row r="464" spans="1:14" x14ac:dyDescent="0.25">
      <c r="A464" t="s">
        <v>454</v>
      </c>
      <c r="B464" t="s">
        <v>455</v>
      </c>
      <c r="C464" t="s">
        <v>977</v>
      </c>
      <c r="D464">
        <v>2</v>
      </c>
      <c r="E464">
        <v>2</v>
      </c>
      <c r="F464">
        <v>1001</v>
      </c>
      <c r="G464" s="14">
        <v>46007</v>
      </c>
      <c r="H464" s="14">
        <v>46030</v>
      </c>
      <c r="I464">
        <v>24</v>
      </c>
      <c r="J464" s="15">
        <v>1705</v>
      </c>
      <c r="K464" s="16">
        <f t="shared" si="14"/>
        <v>1.7032967032967032</v>
      </c>
      <c r="L464" s="15">
        <v>1705</v>
      </c>
      <c r="M464" s="16">
        <f t="shared" si="15"/>
        <v>1.7032967032967032</v>
      </c>
      <c r="N464" t="s">
        <v>242</v>
      </c>
    </row>
    <row r="465" spans="1:14" x14ac:dyDescent="0.25">
      <c r="A465" t="s">
        <v>454</v>
      </c>
      <c r="B465" t="s">
        <v>978</v>
      </c>
      <c r="C465" t="s">
        <v>979</v>
      </c>
      <c r="D465">
        <v>3</v>
      </c>
      <c r="E465">
        <v>2</v>
      </c>
      <c r="F465">
        <v>1103</v>
      </c>
      <c r="G465" s="14">
        <v>45651</v>
      </c>
      <c r="H465" s="14">
        <v>46030</v>
      </c>
      <c r="I465">
        <v>380</v>
      </c>
      <c r="J465" s="15">
        <v>1290</v>
      </c>
      <c r="K465" s="16">
        <f t="shared" si="14"/>
        <v>1.1695376246600182</v>
      </c>
      <c r="L465" s="15">
        <v>1290</v>
      </c>
      <c r="M465" s="16">
        <f t="shared" si="15"/>
        <v>1.1695376246600182</v>
      </c>
      <c r="N465" t="s">
        <v>242</v>
      </c>
    </row>
    <row r="466" spans="1:14" x14ac:dyDescent="0.25">
      <c r="A466" t="s">
        <v>451</v>
      </c>
      <c r="B466" t="s">
        <v>468</v>
      </c>
      <c r="C466" t="s">
        <v>980</v>
      </c>
      <c r="D466">
        <v>2</v>
      </c>
      <c r="E466">
        <v>2</v>
      </c>
      <c r="F466">
        <v>810</v>
      </c>
      <c r="G466" s="14">
        <v>46007</v>
      </c>
      <c r="H466" s="14">
        <v>46031</v>
      </c>
      <c r="I466">
        <v>25</v>
      </c>
      <c r="J466" s="15">
        <v>1200</v>
      </c>
      <c r="K466" s="16">
        <f t="shared" si="14"/>
        <v>1.4814814814814814</v>
      </c>
      <c r="L466" s="15">
        <v>1000</v>
      </c>
      <c r="M466" s="16">
        <f t="shared" si="15"/>
        <v>1.2345679012345678</v>
      </c>
      <c r="N466" t="s">
        <v>242</v>
      </c>
    </row>
    <row r="467" spans="1:14" x14ac:dyDescent="0.25">
      <c r="A467" t="s">
        <v>451</v>
      </c>
      <c r="B467" t="s">
        <v>452</v>
      </c>
      <c r="C467" t="s">
        <v>981</v>
      </c>
      <c r="D467">
        <v>2</v>
      </c>
      <c r="E467">
        <v>2</v>
      </c>
      <c r="F467">
        <v>903</v>
      </c>
      <c r="G467" s="14">
        <v>45939</v>
      </c>
      <c r="H467" s="14">
        <v>46031</v>
      </c>
      <c r="I467">
        <v>93</v>
      </c>
      <c r="J467" s="15">
        <v>1200</v>
      </c>
      <c r="K467" s="16">
        <f t="shared" si="14"/>
        <v>1.3289036544850499</v>
      </c>
      <c r="L467" s="15">
        <v>1000</v>
      </c>
      <c r="M467" s="16">
        <f t="shared" si="15"/>
        <v>1.1074197120708749</v>
      </c>
      <c r="N467" t="s">
        <v>242</v>
      </c>
    </row>
    <row r="468" spans="1:14" x14ac:dyDescent="0.25">
      <c r="A468" t="s">
        <v>454</v>
      </c>
      <c r="B468" t="s">
        <v>481</v>
      </c>
      <c r="C468" t="s">
        <v>982</v>
      </c>
      <c r="D468">
        <v>2</v>
      </c>
      <c r="E468">
        <v>2</v>
      </c>
      <c r="F468">
        <v>1001</v>
      </c>
      <c r="G468" s="14">
        <v>46030</v>
      </c>
      <c r="H468" s="14">
        <v>46032</v>
      </c>
      <c r="I468">
        <v>3</v>
      </c>
      <c r="J468" s="15">
        <v>1175</v>
      </c>
      <c r="K468" s="16">
        <f t="shared" si="14"/>
        <v>1.1738261738261739</v>
      </c>
      <c r="L468" s="15">
        <v>1175</v>
      </c>
      <c r="M468" s="16">
        <f t="shared" si="15"/>
        <v>1.1738261738261739</v>
      </c>
      <c r="N468" t="s">
        <v>242</v>
      </c>
    </row>
    <row r="469" spans="1:14" x14ac:dyDescent="0.25">
      <c r="A469" t="s">
        <v>472</v>
      </c>
      <c r="B469" t="s">
        <v>473</v>
      </c>
      <c r="C469" t="s">
        <v>983</v>
      </c>
      <c r="D469">
        <v>2</v>
      </c>
      <c r="E469">
        <v>1</v>
      </c>
      <c r="F469">
        <v>800</v>
      </c>
      <c r="G469" s="14">
        <v>45813</v>
      </c>
      <c r="H469" s="14">
        <v>46032</v>
      </c>
      <c r="I469">
        <v>220</v>
      </c>
      <c r="J469" s="15">
        <v>1348</v>
      </c>
      <c r="K469" s="16">
        <f t="shared" si="14"/>
        <v>1.6850000000000001</v>
      </c>
      <c r="L469" s="15">
        <v>1155</v>
      </c>
      <c r="M469" s="16">
        <f t="shared" si="15"/>
        <v>1.4437500000000001</v>
      </c>
      <c r="N469" t="s">
        <v>242</v>
      </c>
    </row>
    <row r="470" spans="1:14" x14ac:dyDescent="0.25">
      <c r="A470" t="s">
        <v>465</v>
      </c>
      <c r="B470" t="s">
        <v>984</v>
      </c>
      <c r="C470" t="s">
        <v>985</v>
      </c>
      <c r="D470">
        <v>1</v>
      </c>
      <c r="E470">
        <v>1</v>
      </c>
      <c r="F470">
        <v>532</v>
      </c>
      <c r="G470" s="14">
        <v>45972</v>
      </c>
      <c r="H470" s="14">
        <v>46032</v>
      </c>
      <c r="I470">
        <v>61</v>
      </c>
      <c r="J470" s="15">
        <v>1175</v>
      </c>
      <c r="K470" s="16">
        <f t="shared" si="14"/>
        <v>2.2086466165413534</v>
      </c>
      <c r="L470" s="15">
        <v>1020</v>
      </c>
      <c r="M470" s="16">
        <f t="shared" si="15"/>
        <v>1.9172932330827068</v>
      </c>
      <c r="N470" t="s">
        <v>242</v>
      </c>
    </row>
    <row r="471" spans="1:14" x14ac:dyDescent="0.25">
      <c r="A471" t="s">
        <v>465</v>
      </c>
      <c r="B471" t="s">
        <v>500</v>
      </c>
      <c r="C471" t="s">
        <v>986</v>
      </c>
      <c r="D471">
        <v>2</v>
      </c>
      <c r="E471">
        <v>1</v>
      </c>
      <c r="F471">
        <v>912</v>
      </c>
      <c r="G471" s="14">
        <v>45864</v>
      </c>
      <c r="H471" s="14">
        <v>46032</v>
      </c>
      <c r="I471">
        <v>169</v>
      </c>
      <c r="J471" s="15">
        <v>1350</v>
      </c>
      <c r="K471" s="16">
        <f t="shared" si="14"/>
        <v>1.4802631578947369</v>
      </c>
      <c r="L471" s="15">
        <v>1158</v>
      </c>
      <c r="M471" s="16">
        <f t="shared" si="15"/>
        <v>1.2697368421052631</v>
      </c>
      <c r="N471" t="s">
        <v>242</v>
      </c>
    </row>
    <row r="472" spans="1:14" x14ac:dyDescent="0.25">
      <c r="A472" t="s">
        <v>472</v>
      </c>
      <c r="B472" t="s">
        <v>496</v>
      </c>
      <c r="C472" t="s">
        <v>987</v>
      </c>
      <c r="D472">
        <v>1</v>
      </c>
      <c r="E472">
        <v>1</v>
      </c>
      <c r="F472">
        <v>625</v>
      </c>
      <c r="G472" s="14">
        <v>45924</v>
      </c>
      <c r="H472" s="14">
        <v>46033</v>
      </c>
      <c r="I472">
        <v>110</v>
      </c>
      <c r="J472" s="15">
        <v>1198</v>
      </c>
      <c r="K472" s="16">
        <f t="shared" si="14"/>
        <v>1.9168000000000001</v>
      </c>
      <c r="L472" s="15">
        <v>1027</v>
      </c>
      <c r="M472" s="16">
        <f t="shared" si="15"/>
        <v>1.6432</v>
      </c>
      <c r="N472" t="s">
        <v>242</v>
      </c>
    </row>
    <row r="473" spans="1:14" x14ac:dyDescent="0.25">
      <c r="A473" t="s">
        <v>472</v>
      </c>
      <c r="B473" t="s">
        <v>473</v>
      </c>
      <c r="C473" t="s">
        <v>988</v>
      </c>
      <c r="D473">
        <v>2</v>
      </c>
      <c r="E473">
        <v>1</v>
      </c>
      <c r="F473">
        <v>800</v>
      </c>
      <c r="G473" s="14">
        <v>45953</v>
      </c>
      <c r="H473" s="14">
        <v>46034</v>
      </c>
      <c r="I473">
        <v>82</v>
      </c>
      <c r="J473" s="15">
        <v>1498</v>
      </c>
      <c r="K473" s="16">
        <f t="shared" si="14"/>
        <v>1.8725000000000001</v>
      </c>
      <c r="L473" s="15">
        <v>1284</v>
      </c>
      <c r="M473" s="16">
        <f t="shared" si="15"/>
        <v>1.605</v>
      </c>
      <c r="N473" t="s">
        <v>242</v>
      </c>
    </row>
    <row r="474" spans="1:14" x14ac:dyDescent="0.25">
      <c r="A474" t="s">
        <v>486</v>
      </c>
      <c r="B474" t="s">
        <v>521</v>
      </c>
      <c r="C474" t="s">
        <v>989</v>
      </c>
      <c r="D474">
        <v>2</v>
      </c>
      <c r="E474">
        <v>2</v>
      </c>
      <c r="F474">
        <v>1000</v>
      </c>
      <c r="G474" s="14">
        <v>45979</v>
      </c>
      <c r="H474" s="14">
        <v>46034</v>
      </c>
      <c r="I474">
        <v>56</v>
      </c>
      <c r="J474" s="15">
        <v>1434</v>
      </c>
      <c r="K474" s="16">
        <f t="shared" si="14"/>
        <v>1.4339999999999999</v>
      </c>
      <c r="L474" s="15">
        <v>1230</v>
      </c>
      <c r="M474" s="16">
        <f t="shared" si="15"/>
        <v>1.23</v>
      </c>
      <c r="N474" t="s">
        <v>242</v>
      </c>
    </row>
    <row r="475" spans="1:14" x14ac:dyDescent="0.25">
      <c r="A475" t="s">
        <v>451</v>
      </c>
      <c r="B475" t="s">
        <v>533</v>
      </c>
      <c r="C475" t="s">
        <v>990</v>
      </c>
      <c r="D475">
        <v>1</v>
      </c>
      <c r="E475">
        <v>1</v>
      </c>
      <c r="F475">
        <v>600</v>
      </c>
      <c r="G475" s="14">
        <v>46015</v>
      </c>
      <c r="H475" s="14">
        <v>46035</v>
      </c>
      <c r="I475">
        <v>21</v>
      </c>
      <c r="J475" s="15">
        <v>1000</v>
      </c>
      <c r="K475" s="16">
        <f t="shared" si="14"/>
        <v>1.6666666666666667</v>
      </c>
      <c r="L475" s="15">
        <v>833</v>
      </c>
      <c r="M475" s="16">
        <f t="shared" si="15"/>
        <v>1.3883333333333334</v>
      </c>
      <c r="N475" t="s">
        <v>242</v>
      </c>
    </row>
    <row r="476" spans="1:14" x14ac:dyDescent="0.25">
      <c r="A476" t="s">
        <v>477</v>
      </c>
      <c r="B476" t="s">
        <v>609</v>
      </c>
      <c r="C476" t="s">
        <v>991</v>
      </c>
      <c r="D476">
        <v>2</v>
      </c>
      <c r="E476">
        <v>2</v>
      </c>
      <c r="F476">
        <v>1050</v>
      </c>
      <c r="G476" s="14">
        <v>46034</v>
      </c>
      <c r="H476" s="14">
        <v>46035</v>
      </c>
      <c r="I476">
        <v>2</v>
      </c>
      <c r="J476" s="15">
        <v>1217</v>
      </c>
      <c r="K476" s="16">
        <f t="shared" si="14"/>
        <v>1.1590476190476191</v>
      </c>
      <c r="L476" s="15">
        <v>1217</v>
      </c>
      <c r="M476" s="16">
        <f t="shared" si="15"/>
        <v>1.1590476190476191</v>
      </c>
      <c r="N476" t="s">
        <v>242</v>
      </c>
    </row>
    <row r="477" spans="1:14" x14ac:dyDescent="0.25">
      <c r="A477" t="s">
        <v>462</v>
      </c>
      <c r="B477" t="s">
        <v>470</v>
      </c>
      <c r="C477" t="s">
        <v>992</v>
      </c>
      <c r="D477">
        <v>1</v>
      </c>
      <c r="E477">
        <v>1</v>
      </c>
      <c r="F477">
        <v>732</v>
      </c>
      <c r="G477" s="14">
        <v>45958</v>
      </c>
      <c r="H477" s="14">
        <v>46035</v>
      </c>
      <c r="I477">
        <v>78</v>
      </c>
      <c r="J477" s="15">
        <v>1500</v>
      </c>
      <c r="K477" s="16">
        <f t="shared" si="14"/>
        <v>2.0491803278688523</v>
      </c>
      <c r="L477" s="15">
        <v>1125</v>
      </c>
      <c r="M477" s="16">
        <f t="shared" si="15"/>
        <v>1.5368852459016393</v>
      </c>
      <c r="N477" t="s">
        <v>242</v>
      </c>
    </row>
    <row r="478" spans="1:14" x14ac:dyDescent="0.25">
      <c r="A478" t="s">
        <v>454</v>
      </c>
      <c r="B478" t="s">
        <v>455</v>
      </c>
      <c r="C478" t="s">
        <v>993</v>
      </c>
      <c r="D478">
        <v>2</v>
      </c>
      <c r="E478">
        <v>2</v>
      </c>
      <c r="F478">
        <v>1001</v>
      </c>
      <c r="G478" s="14">
        <v>46030</v>
      </c>
      <c r="H478" s="14">
        <v>46036</v>
      </c>
      <c r="I478">
        <v>7</v>
      </c>
      <c r="J478" s="15">
        <v>1225</v>
      </c>
      <c r="K478" s="16">
        <f t="shared" si="14"/>
        <v>1.2237762237762237</v>
      </c>
      <c r="L478" s="15">
        <v>1225</v>
      </c>
      <c r="M478" s="16">
        <f t="shared" si="15"/>
        <v>1.2237762237762237</v>
      </c>
      <c r="N478" t="s">
        <v>242</v>
      </c>
    </row>
    <row r="479" spans="1:14" x14ac:dyDescent="0.25">
      <c r="A479" t="s">
        <v>457</v>
      </c>
      <c r="B479" t="s">
        <v>683</v>
      </c>
      <c r="C479" t="s">
        <v>994</v>
      </c>
      <c r="D479">
        <v>1</v>
      </c>
      <c r="E479">
        <v>1</v>
      </c>
      <c r="F479">
        <v>762</v>
      </c>
      <c r="G479" s="14">
        <v>45923</v>
      </c>
      <c r="H479" s="14">
        <v>46036</v>
      </c>
      <c r="I479">
        <v>114</v>
      </c>
      <c r="J479" s="15">
        <v>1165</v>
      </c>
      <c r="K479" s="16">
        <f t="shared" si="14"/>
        <v>1.5288713910761156</v>
      </c>
      <c r="L479" s="15">
        <v>986</v>
      </c>
      <c r="M479" s="16">
        <f t="shared" si="15"/>
        <v>1.2939632545931758</v>
      </c>
      <c r="N479" t="s">
        <v>242</v>
      </c>
    </row>
    <row r="480" spans="1:14" x14ac:dyDescent="0.25">
      <c r="A480" t="s">
        <v>462</v>
      </c>
      <c r="B480" t="s">
        <v>470</v>
      </c>
      <c r="C480" t="s">
        <v>461</v>
      </c>
      <c r="D480">
        <v>1</v>
      </c>
      <c r="E480">
        <v>1</v>
      </c>
      <c r="F480">
        <v>732</v>
      </c>
      <c r="G480" s="14">
        <v>45835</v>
      </c>
      <c r="H480" s="14">
        <v>46037</v>
      </c>
      <c r="I480">
        <v>203</v>
      </c>
      <c r="J480" s="15">
        <v>1500</v>
      </c>
      <c r="K480" s="16">
        <f t="shared" si="14"/>
        <v>2.0491803278688523</v>
      </c>
      <c r="L480" s="15">
        <v>1125</v>
      </c>
      <c r="M480" s="16">
        <f t="shared" si="15"/>
        <v>1.5368852459016393</v>
      </c>
      <c r="N480" t="s">
        <v>242</v>
      </c>
    </row>
    <row r="481" spans="1:14" x14ac:dyDescent="0.25">
      <c r="A481" t="s">
        <v>472</v>
      </c>
      <c r="B481" t="s">
        <v>473</v>
      </c>
      <c r="C481" t="s">
        <v>995</v>
      </c>
      <c r="D481">
        <v>2</v>
      </c>
      <c r="E481">
        <v>1</v>
      </c>
      <c r="F481">
        <v>800</v>
      </c>
      <c r="G481" s="14">
        <v>45876</v>
      </c>
      <c r="H481" s="14">
        <v>46037</v>
      </c>
      <c r="I481">
        <v>162</v>
      </c>
      <c r="J481" s="15">
        <v>1348</v>
      </c>
      <c r="K481" s="16">
        <f t="shared" si="14"/>
        <v>1.6850000000000001</v>
      </c>
      <c r="L481" s="15">
        <v>1155</v>
      </c>
      <c r="M481" s="16">
        <f t="shared" si="15"/>
        <v>1.4437500000000001</v>
      </c>
      <c r="N481" t="s">
        <v>242</v>
      </c>
    </row>
    <row r="482" spans="1:14" x14ac:dyDescent="0.25">
      <c r="A482" t="s">
        <v>472</v>
      </c>
      <c r="B482" t="s">
        <v>473</v>
      </c>
      <c r="C482" t="s">
        <v>996</v>
      </c>
      <c r="D482">
        <v>2</v>
      </c>
      <c r="E482">
        <v>1</v>
      </c>
      <c r="F482">
        <v>800</v>
      </c>
      <c r="G482" s="14">
        <v>45940</v>
      </c>
      <c r="H482" s="14">
        <v>46037</v>
      </c>
      <c r="I482">
        <v>98</v>
      </c>
      <c r="J482" s="15">
        <v>1498</v>
      </c>
      <c r="K482" s="16">
        <f t="shared" si="14"/>
        <v>1.8725000000000001</v>
      </c>
      <c r="L482" s="15">
        <v>1284</v>
      </c>
      <c r="M482" s="16">
        <f t="shared" si="15"/>
        <v>1.605</v>
      </c>
      <c r="N482" t="s">
        <v>242</v>
      </c>
    </row>
    <row r="483" spans="1:14" x14ac:dyDescent="0.25">
      <c r="A483" t="s">
        <v>462</v>
      </c>
      <c r="B483" t="s">
        <v>470</v>
      </c>
      <c r="C483" t="s">
        <v>997</v>
      </c>
      <c r="D483">
        <v>1</v>
      </c>
      <c r="E483">
        <v>1</v>
      </c>
      <c r="F483">
        <v>732</v>
      </c>
      <c r="G483" s="14">
        <v>45934</v>
      </c>
      <c r="H483" s="14">
        <v>46038</v>
      </c>
      <c r="I483">
        <v>105</v>
      </c>
      <c r="J483" s="15">
        <v>1500</v>
      </c>
      <c r="K483" s="16">
        <f t="shared" si="14"/>
        <v>2.0491803278688523</v>
      </c>
      <c r="L483" s="15">
        <v>1125</v>
      </c>
      <c r="M483" s="16">
        <f t="shared" si="15"/>
        <v>1.5368852459016393</v>
      </c>
      <c r="N483" t="s">
        <v>242</v>
      </c>
    </row>
    <row r="484" spans="1:14" x14ac:dyDescent="0.25">
      <c r="A484" t="s">
        <v>472</v>
      </c>
      <c r="B484" t="s">
        <v>496</v>
      </c>
      <c r="C484" t="s">
        <v>998</v>
      </c>
      <c r="D484">
        <v>1</v>
      </c>
      <c r="E484">
        <v>1</v>
      </c>
      <c r="F484">
        <v>625</v>
      </c>
      <c r="G484" s="14">
        <v>45918</v>
      </c>
      <c r="H484" s="14">
        <v>46038</v>
      </c>
      <c r="I484">
        <v>121</v>
      </c>
      <c r="J484" s="15">
        <v>1098</v>
      </c>
      <c r="K484" s="16">
        <f t="shared" si="14"/>
        <v>1.7567999999999999</v>
      </c>
      <c r="L484" s="15">
        <v>941</v>
      </c>
      <c r="M484" s="16">
        <f t="shared" si="15"/>
        <v>1.5056</v>
      </c>
      <c r="N484" t="s">
        <v>242</v>
      </c>
    </row>
    <row r="485" spans="1:14" x14ac:dyDescent="0.25">
      <c r="A485" t="s">
        <v>457</v>
      </c>
      <c r="B485" t="s">
        <v>525</v>
      </c>
      <c r="C485" t="s">
        <v>999</v>
      </c>
      <c r="D485">
        <v>2</v>
      </c>
      <c r="E485">
        <v>2</v>
      </c>
      <c r="F485">
        <v>1001</v>
      </c>
      <c r="G485" s="14">
        <v>46027</v>
      </c>
      <c r="H485" s="14">
        <v>46038</v>
      </c>
      <c r="I485">
        <v>12</v>
      </c>
      <c r="J485" s="15">
        <v>1414</v>
      </c>
      <c r="K485" s="16">
        <f t="shared" si="14"/>
        <v>1.4125874125874125</v>
      </c>
      <c r="L485" s="15">
        <v>1196</v>
      </c>
      <c r="M485" s="16">
        <f t="shared" si="15"/>
        <v>1.1948051948051948</v>
      </c>
      <c r="N485" t="s">
        <v>242</v>
      </c>
    </row>
    <row r="486" spans="1:14" x14ac:dyDescent="0.25">
      <c r="A486" t="s">
        <v>451</v>
      </c>
      <c r="B486" t="s">
        <v>460</v>
      </c>
      <c r="C486" t="s">
        <v>1000</v>
      </c>
      <c r="D486">
        <v>1</v>
      </c>
      <c r="E486">
        <v>1</v>
      </c>
      <c r="F486">
        <v>726</v>
      </c>
      <c r="G486" s="14">
        <v>45982</v>
      </c>
      <c r="H486" s="14">
        <v>46039</v>
      </c>
      <c r="I486">
        <v>58</v>
      </c>
      <c r="J486" s="15">
        <v>1000</v>
      </c>
      <c r="K486" s="16">
        <f t="shared" si="14"/>
        <v>1.3774104683195592</v>
      </c>
      <c r="L486" s="15">
        <v>833</v>
      </c>
      <c r="M486" s="16">
        <f t="shared" si="15"/>
        <v>1.1473829201101928</v>
      </c>
      <c r="N486" t="s">
        <v>242</v>
      </c>
    </row>
    <row r="487" spans="1:14" x14ac:dyDescent="0.25">
      <c r="A487" t="s">
        <v>457</v>
      </c>
      <c r="B487" t="s">
        <v>683</v>
      </c>
      <c r="C487" t="s">
        <v>1001</v>
      </c>
      <c r="D487">
        <v>1</v>
      </c>
      <c r="E487">
        <v>1</v>
      </c>
      <c r="F487">
        <v>762</v>
      </c>
      <c r="G487" s="14">
        <v>45948</v>
      </c>
      <c r="H487" s="14">
        <v>46040</v>
      </c>
      <c r="I487">
        <v>93</v>
      </c>
      <c r="J487" s="15">
        <v>1180</v>
      </c>
      <c r="K487" s="16">
        <f t="shared" si="14"/>
        <v>1.5485564304461943</v>
      </c>
      <c r="L487" s="15">
        <v>953</v>
      </c>
      <c r="M487" s="16">
        <f t="shared" si="15"/>
        <v>1.2506561679790027</v>
      </c>
      <c r="N487" t="s">
        <v>242</v>
      </c>
    </row>
    <row r="488" spans="1:14" x14ac:dyDescent="0.25">
      <c r="A488" t="s">
        <v>451</v>
      </c>
      <c r="B488" t="s">
        <v>468</v>
      </c>
      <c r="C488" t="s">
        <v>1002</v>
      </c>
      <c r="D488">
        <v>2</v>
      </c>
      <c r="E488">
        <v>2</v>
      </c>
      <c r="F488">
        <v>810</v>
      </c>
      <c r="G488" s="14">
        <v>46000</v>
      </c>
      <c r="H488" s="14">
        <v>46041</v>
      </c>
      <c r="I488">
        <v>42</v>
      </c>
      <c r="J488" s="15">
        <v>1200</v>
      </c>
      <c r="K488" s="16">
        <f t="shared" si="14"/>
        <v>1.4814814814814814</v>
      </c>
      <c r="L488" s="15">
        <v>1000</v>
      </c>
      <c r="M488" s="16">
        <f t="shared" si="15"/>
        <v>1.2345679012345678</v>
      </c>
      <c r="N488" t="s">
        <v>242</v>
      </c>
    </row>
    <row r="489" spans="1:14" x14ac:dyDescent="0.25">
      <c r="A489" t="s">
        <v>451</v>
      </c>
      <c r="B489" t="s">
        <v>460</v>
      </c>
      <c r="C489" t="s">
        <v>1003</v>
      </c>
      <c r="D489">
        <v>1</v>
      </c>
      <c r="E489">
        <v>1</v>
      </c>
      <c r="F489">
        <v>726</v>
      </c>
      <c r="G489" s="14">
        <v>46037</v>
      </c>
      <c r="H489" s="14">
        <v>46042</v>
      </c>
      <c r="I489">
        <v>6</v>
      </c>
      <c r="J489" s="15">
        <v>1000</v>
      </c>
      <c r="K489" s="16">
        <f t="shared" si="14"/>
        <v>1.3774104683195592</v>
      </c>
      <c r="L489" s="15">
        <v>833</v>
      </c>
      <c r="M489" s="16">
        <f t="shared" si="15"/>
        <v>1.1473829201101928</v>
      </c>
      <c r="N489" t="s">
        <v>242</v>
      </c>
    </row>
    <row r="490" spans="1:14" x14ac:dyDescent="0.25">
      <c r="A490" t="s">
        <v>477</v>
      </c>
      <c r="B490" t="s">
        <v>478</v>
      </c>
      <c r="C490" t="s">
        <v>1004</v>
      </c>
      <c r="D490">
        <v>1</v>
      </c>
      <c r="E490">
        <v>1</v>
      </c>
      <c r="F490">
        <v>771</v>
      </c>
      <c r="G490" s="14">
        <v>45943</v>
      </c>
      <c r="H490" s="14">
        <v>46043</v>
      </c>
      <c r="I490">
        <v>101</v>
      </c>
      <c r="J490" s="15">
        <v>1031</v>
      </c>
      <c r="K490" s="16">
        <f t="shared" si="14"/>
        <v>1.3372243839169908</v>
      </c>
      <c r="L490" s="15">
        <v>1031</v>
      </c>
      <c r="M490" s="16">
        <f t="shared" si="15"/>
        <v>1.3372243839169908</v>
      </c>
      <c r="N490" t="s">
        <v>242</v>
      </c>
    </row>
    <row r="491" spans="1:14" x14ac:dyDescent="0.25">
      <c r="A491" t="s">
        <v>477</v>
      </c>
      <c r="B491" t="s">
        <v>587</v>
      </c>
      <c r="C491" t="s">
        <v>1005</v>
      </c>
      <c r="D491">
        <v>3</v>
      </c>
      <c r="E491">
        <v>2</v>
      </c>
      <c r="F491">
        <v>1244</v>
      </c>
      <c r="G491" s="14">
        <v>45953</v>
      </c>
      <c r="H491" s="14">
        <v>46043</v>
      </c>
      <c r="I491">
        <v>91</v>
      </c>
      <c r="J491" s="15">
        <v>1396</v>
      </c>
      <c r="K491" s="16">
        <f t="shared" si="14"/>
        <v>1.1221864951768488</v>
      </c>
      <c r="L491" s="15">
        <v>1396</v>
      </c>
      <c r="M491" s="16">
        <f t="shared" si="15"/>
        <v>1.1221864951768488</v>
      </c>
      <c r="N491" t="s">
        <v>242</v>
      </c>
    </row>
    <row r="492" spans="1:14" x14ac:dyDescent="0.25">
      <c r="A492" t="s">
        <v>457</v>
      </c>
      <c r="B492" t="s">
        <v>633</v>
      </c>
      <c r="C492" t="s">
        <v>1006</v>
      </c>
      <c r="D492">
        <v>1</v>
      </c>
      <c r="E492">
        <v>1</v>
      </c>
      <c r="F492">
        <v>541</v>
      </c>
      <c r="G492" s="14">
        <v>45967</v>
      </c>
      <c r="H492" s="14">
        <v>46043</v>
      </c>
      <c r="I492">
        <v>77</v>
      </c>
      <c r="J492" s="15">
        <v>1050</v>
      </c>
      <c r="K492" s="16">
        <f t="shared" si="14"/>
        <v>1.9408502772643252</v>
      </c>
      <c r="L492" s="15">
        <v>788</v>
      </c>
      <c r="M492" s="16">
        <f t="shared" si="15"/>
        <v>1.4565619223659889</v>
      </c>
      <c r="N492" t="s">
        <v>242</v>
      </c>
    </row>
    <row r="493" spans="1:14" x14ac:dyDescent="0.25">
      <c r="A493" t="s">
        <v>462</v>
      </c>
      <c r="B493" t="s">
        <v>463</v>
      </c>
      <c r="C493" t="s">
        <v>1007</v>
      </c>
      <c r="D493">
        <v>2</v>
      </c>
      <c r="E493">
        <v>2</v>
      </c>
      <c r="F493">
        <v>958</v>
      </c>
      <c r="G493" s="14">
        <v>45932</v>
      </c>
      <c r="H493" s="14">
        <v>46044</v>
      </c>
      <c r="I493">
        <v>113</v>
      </c>
      <c r="J493" s="15">
        <v>1700</v>
      </c>
      <c r="K493" s="16">
        <f t="shared" si="14"/>
        <v>1.7745302713987474</v>
      </c>
      <c r="L493" s="15">
        <v>1275</v>
      </c>
      <c r="M493" s="16">
        <f t="shared" si="15"/>
        <v>1.3308977035490606</v>
      </c>
      <c r="N493" t="s">
        <v>242</v>
      </c>
    </row>
    <row r="494" spans="1:14" x14ac:dyDescent="0.25">
      <c r="A494" t="s">
        <v>472</v>
      </c>
      <c r="B494" t="s">
        <v>473</v>
      </c>
      <c r="C494" t="s">
        <v>1008</v>
      </c>
      <c r="D494">
        <v>2</v>
      </c>
      <c r="E494">
        <v>1</v>
      </c>
      <c r="F494">
        <v>800</v>
      </c>
      <c r="G494" s="14">
        <v>45966</v>
      </c>
      <c r="H494" s="14">
        <v>46044</v>
      </c>
      <c r="I494">
        <v>79</v>
      </c>
      <c r="J494" s="15">
        <v>1598</v>
      </c>
      <c r="K494" s="16">
        <f t="shared" si="14"/>
        <v>1.9975000000000001</v>
      </c>
      <c r="L494" s="15">
        <v>1370</v>
      </c>
      <c r="M494" s="16">
        <f t="shared" si="15"/>
        <v>1.7124999999999999</v>
      </c>
      <c r="N494" t="s">
        <v>242</v>
      </c>
    </row>
    <row r="495" spans="1:14" x14ac:dyDescent="0.25">
      <c r="A495" t="s">
        <v>465</v>
      </c>
      <c r="B495" t="s">
        <v>781</v>
      </c>
      <c r="C495" t="s">
        <v>1009</v>
      </c>
      <c r="D495">
        <v>3</v>
      </c>
      <c r="E495">
        <v>2</v>
      </c>
      <c r="F495">
        <v>1181</v>
      </c>
      <c r="G495" s="14">
        <v>45917</v>
      </c>
      <c r="H495" s="14">
        <v>46044</v>
      </c>
      <c r="I495">
        <v>128</v>
      </c>
      <c r="J495" s="15">
        <v>1842</v>
      </c>
      <c r="K495" s="16">
        <f t="shared" si="14"/>
        <v>1.5596951735817104</v>
      </c>
      <c r="L495" s="15">
        <v>1515</v>
      </c>
      <c r="M495" s="16">
        <f t="shared" si="15"/>
        <v>1.2828111769686705</v>
      </c>
      <c r="N495" t="s">
        <v>242</v>
      </c>
    </row>
    <row r="496" spans="1:14" x14ac:dyDescent="0.25">
      <c r="A496" t="s">
        <v>451</v>
      </c>
      <c r="B496" t="s">
        <v>725</v>
      </c>
      <c r="C496" t="s">
        <v>1010</v>
      </c>
      <c r="D496">
        <v>1</v>
      </c>
      <c r="E496">
        <v>1</v>
      </c>
      <c r="F496">
        <v>615</v>
      </c>
      <c r="G496" s="14">
        <v>46028</v>
      </c>
      <c r="H496" s="14">
        <v>46045</v>
      </c>
      <c r="I496">
        <v>18</v>
      </c>
      <c r="J496" s="15">
        <v>1000</v>
      </c>
      <c r="K496" s="16">
        <f t="shared" si="14"/>
        <v>1.6260162601626016</v>
      </c>
      <c r="L496" s="15">
        <v>833</v>
      </c>
      <c r="M496" s="16">
        <f t="shared" si="15"/>
        <v>1.3544715447154472</v>
      </c>
      <c r="N496" t="s">
        <v>242</v>
      </c>
    </row>
    <row r="497" spans="1:14" x14ac:dyDescent="0.25">
      <c r="A497" t="s">
        <v>451</v>
      </c>
      <c r="B497" t="s">
        <v>452</v>
      </c>
      <c r="C497" t="s">
        <v>1011</v>
      </c>
      <c r="D497">
        <v>2</v>
      </c>
      <c r="E497">
        <v>2</v>
      </c>
      <c r="F497">
        <v>903</v>
      </c>
      <c r="G497" s="14">
        <v>45808</v>
      </c>
      <c r="H497" s="14">
        <v>46045</v>
      </c>
      <c r="I497">
        <v>238</v>
      </c>
      <c r="J497" s="15">
        <v>1200</v>
      </c>
      <c r="K497" s="16">
        <f t="shared" si="14"/>
        <v>1.3289036544850499</v>
      </c>
      <c r="L497" s="15">
        <v>1000</v>
      </c>
      <c r="M497" s="16">
        <f t="shared" si="15"/>
        <v>1.1074197120708749</v>
      </c>
      <c r="N497" t="s">
        <v>242</v>
      </c>
    </row>
    <row r="498" spans="1:14" x14ac:dyDescent="0.25">
      <c r="A498" t="s">
        <v>477</v>
      </c>
      <c r="B498" t="s">
        <v>587</v>
      </c>
      <c r="C498" t="s">
        <v>1012</v>
      </c>
      <c r="D498">
        <v>3</v>
      </c>
      <c r="E498">
        <v>2</v>
      </c>
      <c r="F498">
        <v>1244</v>
      </c>
      <c r="G498" s="14">
        <v>45908</v>
      </c>
      <c r="H498" s="14">
        <v>46045</v>
      </c>
      <c r="I498">
        <v>138</v>
      </c>
      <c r="J498" s="15">
        <v>1396</v>
      </c>
      <c r="K498" s="16">
        <f t="shared" si="14"/>
        <v>1.1221864951768488</v>
      </c>
      <c r="L498" s="15">
        <v>1396</v>
      </c>
      <c r="M498" s="16">
        <f t="shared" si="15"/>
        <v>1.1221864951768488</v>
      </c>
      <c r="N498" t="s">
        <v>242</v>
      </c>
    </row>
    <row r="499" spans="1:14" x14ac:dyDescent="0.25">
      <c r="A499" t="s">
        <v>454</v>
      </c>
      <c r="B499" t="s">
        <v>938</v>
      </c>
      <c r="C499" t="s">
        <v>1013</v>
      </c>
      <c r="D499">
        <v>3</v>
      </c>
      <c r="E499">
        <v>2</v>
      </c>
      <c r="F499">
        <v>1103</v>
      </c>
      <c r="G499" s="14">
        <v>46007</v>
      </c>
      <c r="H499" s="14">
        <v>46045</v>
      </c>
      <c r="I499">
        <v>39</v>
      </c>
      <c r="J499" s="15">
        <v>1340</v>
      </c>
      <c r="K499" s="16">
        <f t="shared" si="14"/>
        <v>1.214868540344515</v>
      </c>
      <c r="L499" s="15">
        <v>1340</v>
      </c>
      <c r="M499" s="16">
        <f t="shared" si="15"/>
        <v>1.214868540344515</v>
      </c>
      <c r="N499" t="s">
        <v>242</v>
      </c>
    </row>
    <row r="500" spans="1:14" x14ac:dyDescent="0.25">
      <c r="A500" t="s">
        <v>472</v>
      </c>
      <c r="B500" t="s">
        <v>496</v>
      </c>
      <c r="C500" t="s">
        <v>1014</v>
      </c>
      <c r="D500">
        <v>1</v>
      </c>
      <c r="E500">
        <v>1</v>
      </c>
      <c r="F500">
        <v>625</v>
      </c>
      <c r="G500" s="14">
        <v>46039</v>
      </c>
      <c r="H500" s="14">
        <v>46045</v>
      </c>
      <c r="I500">
        <v>7</v>
      </c>
      <c r="J500" s="15">
        <v>1373</v>
      </c>
      <c r="K500" s="16">
        <f t="shared" si="14"/>
        <v>2.1968000000000001</v>
      </c>
      <c r="L500" s="15">
        <v>1144</v>
      </c>
      <c r="M500" s="16">
        <f t="shared" si="15"/>
        <v>1.8304</v>
      </c>
      <c r="N500" t="s">
        <v>242</v>
      </c>
    </row>
    <row r="501" spans="1:14" x14ac:dyDescent="0.25">
      <c r="A501" t="s">
        <v>486</v>
      </c>
      <c r="B501" t="s">
        <v>521</v>
      </c>
      <c r="C501" t="s">
        <v>1015</v>
      </c>
      <c r="D501">
        <v>2</v>
      </c>
      <c r="E501">
        <v>2</v>
      </c>
      <c r="F501">
        <v>1000</v>
      </c>
      <c r="G501" s="14">
        <v>45996</v>
      </c>
      <c r="H501" s="14">
        <v>46045</v>
      </c>
      <c r="I501">
        <v>50</v>
      </c>
      <c r="J501" s="15">
        <v>1434</v>
      </c>
      <c r="K501" s="16">
        <f t="shared" si="14"/>
        <v>1.4339999999999999</v>
      </c>
      <c r="L501" s="15">
        <v>1179</v>
      </c>
      <c r="M501" s="16">
        <f t="shared" si="15"/>
        <v>1.179</v>
      </c>
      <c r="N501" t="s">
        <v>242</v>
      </c>
    </row>
    <row r="502" spans="1:14" x14ac:dyDescent="0.25">
      <c r="A502" t="s">
        <v>465</v>
      </c>
      <c r="B502" t="s">
        <v>984</v>
      </c>
      <c r="C502" t="s">
        <v>1016</v>
      </c>
      <c r="D502">
        <v>1</v>
      </c>
      <c r="E502">
        <v>1</v>
      </c>
      <c r="F502">
        <v>532</v>
      </c>
      <c r="G502" s="14">
        <v>46010</v>
      </c>
      <c r="H502" s="14">
        <v>46045</v>
      </c>
      <c r="I502">
        <v>36</v>
      </c>
      <c r="J502" s="15">
        <v>1192</v>
      </c>
      <c r="K502" s="16">
        <f t="shared" si="14"/>
        <v>2.2406015037593985</v>
      </c>
      <c r="L502" s="15">
        <v>963</v>
      </c>
      <c r="M502" s="16">
        <f t="shared" si="15"/>
        <v>1.8101503759398496</v>
      </c>
      <c r="N502" t="s">
        <v>242</v>
      </c>
    </row>
    <row r="503" spans="1:14" x14ac:dyDescent="0.25">
      <c r="A503" t="s">
        <v>465</v>
      </c>
      <c r="B503" t="s">
        <v>623</v>
      </c>
      <c r="C503" t="s">
        <v>1017</v>
      </c>
      <c r="D503">
        <v>2</v>
      </c>
      <c r="E503">
        <v>1</v>
      </c>
      <c r="F503">
        <v>874</v>
      </c>
      <c r="G503" s="14">
        <v>45964</v>
      </c>
      <c r="H503" s="14">
        <v>46045</v>
      </c>
      <c r="I503">
        <v>82</v>
      </c>
      <c r="J503" s="15">
        <v>1209</v>
      </c>
      <c r="K503" s="16">
        <f t="shared" si="14"/>
        <v>1.3832951945080092</v>
      </c>
      <c r="L503" s="15">
        <v>994</v>
      </c>
      <c r="M503" s="16">
        <f t="shared" si="15"/>
        <v>1.1372997711670481</v>
      </c>
      <c r="N503" t="s">
        <v>242</v>
      </c>
    </row>
    <row r="504" spans="1:14" x14ac:dyDescent="0.25">
      <c r="A504" t="s">
        <v>477</v>
      </c>
      <c r="B504" t="s">
        <v>609</v>
      </c>
      <c r="C504" t="s">
        <v>1018</v>
      </c>
      <c r="D504">
        <v>2</v>
      </c>
      <c r="E504">
        <v>2</v>
      </c>
      <c r="F504">
        <v>1050</v>
      </c>
      <c r="G504" s="14">
        <v>45791</v>
      </c>
      <c r="H504" s="14">
        <v>46046</v>
      </c>
      <c r="I504">
        <v>256</v>
      </c>
      <c r="J504" s="15">
        <v>1217</v>
      </c>
      <c r="K504" s="16">
        <f t="shared" si="14"/>
        <v>1.1590476190476191</v>
      </c>
      <c r="L504" s="15">
        <v>1217</v>
      </c>
      <c r="M504" s="16">
        <f t="shared" si="15"/>
        <v>1.1590476190476191</v>
      </c>
      <c r="N504" t="s">
        <v>242</v>
      </c>
    </row>
    <row r="505" spans="1:14" x14ac:dyDescent="0.25">
      <c r="A505" t="s">
        <v>477</v>
      </c>
      <c r="B505" t="s">
        <v>587</v>
      </c>
      <c r="C505" t="s">
        <v>1019</v>
      </c>
      <c r="D505">
        <v>3</v>
      </c>
      <c r="E505">
        <v>2</v>
      </c>
      <c r="F505">
        <v>1244</v>
      </c>
      <c r="G505" s="14">
        <v>45928</v>
      </c>
      <c r="H505" s="14">
        <v>46046</v>
      </c>
      <c r="I505">
        <v>119</v>
      </c>
      <c r="J505" s="15">
        <v>1396</v>
      </c>
      <c r="K505" s="16">
        <f t="shared" si="14"/>
        <v>1.1221864951768488</v>
      </c>
      <c r="L505" s="15">
        <v>1396</v>
      </c>
      <c r="M505" s="16">
        <f t="shared" si="15"/>
        <v>1.1221864951768488</v>
      </c>
      <c r="N505" t="s">
        <v>242</v>
      </c>
    </row>
    <row r="506" spans="1:14" x14ac:dyDescent="0.25">
      <c r="A506" t="s">
        <v>472</v>
      </c>
      <c r="B506" t="s">
        <v>473</v>
      </c>
      <c r="C506" t="s">
        <v>1020</v>
      </c>
      <c r="D506">
        <v>2</v>
      </c>
      <c r="E506">
        <v>1</v>
      </c>
      <c r="F506">
        <v>800</v>
      </c>
      <c r="G506" s="14">
        <v>46031</v>
      </c>
      <c r="H506" s="14">
        <v>46046</v>
      </c>
      <c r="I506">
        <v>16</v>
      </c>
      <c r="J506" s="15">
        <v>1623</v>
      </c>
      <c r="K506" s="16">
        <f t="shared" si="14"/>
        <v>2.0287500000000001</v>
      </c>
      <c r="L506" s="15">
        <v>1391</v>
      </c>
      <c r="M506" s="16">
        <f t="shared" si="15"/>
        <v>1.73875</v>
      </c>
      <c r="N506" t="s">
        <v>242</v>
      </c>
    </row>
    <row r="507" spans="1:14" x14ac:dyDescent="0.25">
      <c r="A507" t="s">
        <v>472</v>
      </c>
      <c r="B507" t="s">
        <v>473</v>
      </c>
      <c r="C507" t="s">
        <v>1021</v>
      </c>
      <c r="D507">
        <v>2</v>
      </c>
      <c r="E507">
        <v>1</v>
      </c>
      <c r="F507">
        <v>800</v>
      </c>
      <c r="G507" s="14">
        <v>45958</v>
      </c>
      <c r="H507" s="14">
        <v>46046</v>
      </c>
      <c r="I507">
        <v>89</v>
      </c>
      <c r="J507" s="15">
        <v>1723</v>
      </c>
      <c r="K507" s="16">
        <f t="shared" si="14"/>
        <v>2.1537500000000001</v>
      </c>
      <c r="L507" s="15">
        <v>1477</v>
      </c>
      <c r="M507" s="16">
        <f t="shared" si="15"/>
        <v>1.8462499999999999</v>
      </c>
      <c r="N507" t="s">
        <v>242</v>
      </c>
    </row>
    <row r="508" spans="1:14" x14ac:dyDescent="0.25">
      <c r="A508" t="s">
        <v>451</v>
      </c>
      <c r="B508" t="s">
        <v>452</v>
      </c>
      <c r="C508" t="s">
        <v>1022</v>
      </c>
      <c r="D508">
        <v>2</v>
      </c>
      <c r="E508">
        <v>2</v>
      </c>
      <c r="F508">
        <v>903</v>
      </c>
      <c r="G508" s="14">
        <v>45996</v>
      </c>
      <c r="H508" s="14">
        <v>46047</v>
      </c>
      <c r="I508">
        <v>52</v>
      </c>
      <c r="J508" s="15">
        <v>1200</v>
      </c>
      <c r="K508" s="16">
        <f t="shared" si="14"/>
        <v>1.3289036544850499</v>
      </c>
      <c r="L508" s="15">
        <v>1000</v>
      </c>
      <c r="M508" s="16">
        <f t="shared" si="15"/>
        <v>1.1074197120708749</v>
      </c>
      <c r="N508" t="s">
        <v>242</v>
      </c>
    </row>
    <row r="509" spans="1:14" x14ac:dyDescent="0.25">
      <c r="A509" t="s">
        <v>451</v>
      </c>
      <c r="B509" t="s">
        <v>533</v>
      </c>
      <c r="C509" t="s">
        <v>1023</v>
      </c>
      <c r="D509">
        <v>1</v>
      </c>
      <c r="E509">
        <v>1</v>
      </c>
      <c r="F509">
        <v>600</v>
      </c>
      <c r="G509" s="14">
        <v>45815</v>
      </c>
      <c r="H509" s="14">
        <v>46048</v>
      </c>
      <c r="I509">
        <v>234</v>
      </c>
      <c r="J509" s="15">
        <v>1000</v>
      </c>
      <c r="K509" s="16">
        <f t="shared" si="14"/>
        <v>1.6666666666666667</v>
      </c>
      <c r="L509" s="15">
        <v>833</v>
      </c>
      <c r="M509" s="16">
        <f t="shared" si="15"/>
        <v>1.3883333333333334</v>
      </c>
      <c r="N509" t="s">
        <v>242</v>
      </c>
    </row>
    <row r="510" spans="1:14" x14ac:dyDescent="0.25">
      <c r="A510" t="s">
        <v>486</v>
      </c>
      <c r="B510" t="s">
        <v>510</v>
      </c>
      <c r="C510" t="s">
        <v>1024</v>
      </c>
      <c r="D510">
        <v>1</v>
      </c>
      <c r="E510">
        <v>1</v>
      </c>
      <c r="F510">
        <v>650</v>
      </c>
      <c r="G510" s="14">
        <v>45995</v>
      </c>
      <c r="H510" s="14">
        <v>46048</v>
      </c>
      <c r="I510">
        <v>54</v>
      </c>
      <c r="J510" s="15">
        <v>1245</v>
      </c>
      <c r="K510" s="16">
        <f t="shared" si="14"/>
        <v>1.9153846153846155</v>
      </c>
      <c r="L510" s="15">
        <v>1024</v>
      </c>
      <c r="M510" s="16">
        <f t="shared" si="15"/>
        <v>1.5753846153846154</v>
      </c>
      <c r="N510" t="s">
        <v>242</v>
      </c>
    </row>
    <row r="511" spans="1:14" x14ac:dyDescent="0.25">
      <c r="A511" t="s">
        <v>457</v>
      </c>
      <c r="B511" t="s">
        <v>523</v>
      </c>
      <c r="C511" t="s">
        <v>1025</v>
      </c>
      <c r="D511">
        <v>2</v>
      </c>
      <c r="E511">
        <v>2</v>
      </c>
      <c r="F511">
        <v>1001</v>
      </c>
      <c r="G511" s="14">
        <v>46035</v>
      </c>
      <c r="H511" s="14">
        <v>46048</v>
      </c>
      <c r="I511">
        <v>14</v>
      </c>
      <c r="J511" s="15">
        <v>1279</v>
      </c>
      <c r="K511" s="16">
        <f t="shared" si="14"/>
        <v>1.2777222777222776</v>
      </c>
      <c r="L511" s="15">
        <v>959</v>
      </c>
      <c r="M511" s="16">
        <f t="shared" si="15"/>
        <v>0.95804195804195802</v>
      </c>
      <c r="N511" t="s">
        <v>242</v>
      </c>
    </row>
    <row r="512" spans="1:14" x14ac:dyDescent="0.25">
      <c r="A512" t="s">
        <v>462</v>
      </c>
      <c r="B512" t="s">
        <v>463</v>
      </c>
      <c r="C512" t="s">
        <v>1026</v>
      </c>
      <c r="D512">
        <v>2</v>
      </c>
      <c r="E512">
        <v>2</v>
      </c>
      <c r="F512">
        <v>958</v>
      </c>
      <c r="G512" s="14">
        <v>46044</v>
      </c>
      <c r="H512" s="14">
        <v>46049</v>
      </c>
      <c r="I512">
        <v>6</v>
      </c>
      <c r="J512" s="15">
        <v>1700</v>
      </c>
      <c r="K512" s="16">
        <f t="shared" si="14"/>
        <v>1.7745302713987474</v>
      </c>
      <c r="L512" s="15">
        <v>1275</v>
      </c>
      <c r="M512" s="16">
        <f t="shared" si="15"/>
        <v>1.3308977035490606</v>
      </c>
      <c r="N512" t="s">
        <v>242</v>
      </c>
    </row>
    <row r="513" spans="1:14" x14ac:dyDescent="0.25">
      <c r="A513" t="s">
        <v>462</v>
      </c>
      <c r="B513" t="s">
        <v>553</v>
      </c>
      <c r="C513" t="s">
        <v>1027</v>
      </c>
      <c r="D513">
        <v>3</v>
      </c>
      <c r="E513">
        <v>2</v>
      </c>
      <c r="F513">
        <v>1166</v>
      </c>
      <c r="G513" s="14">
        <v>45889</v>
      </c>
      <c r="H513" s="14">
        <v>46049</v>
      </c>
      <c r="I513">
        <v>161</v>
      </c>
      <c r="J513" s="15">
        <v>1975</v>
      </c>
      <c r="K513" s="16">
        <f t="shared" si="14"/>
        <v>1.6938250428816466</v>
      </c>
      <c r="L513" s="15">
        <v>1481</v>
      </c>
      <c r="M513" s="16">
        <f t="shared" si="15"/>
        <v>1.2701543739279588</v>
      </c>
      <c r="N513" t="s">
        <v>242</v>
      </c>
    </row>
    <row r="514" spans="1:14" x14ac:dyDescent="0.25">
      <c r="A514" t="s">
        <v>472</v>
      </c>
      <c r="B514" t="s">
        <v>473</v>
      </c>
      <c r="C514" t="s">
        <v>1028</v>
      </c>
      <c r="D514">
        <v>2</v>
      </c>
      <c r="E514">
        <v>1</v>
      </c>
      <c r="F514">
        <v>800</v>
      </c>
      <c r="G514" s="14">
        <v>45912</v>
      </c>
      <c r="H514" s="14">
        <v>46049</v>
      </c>
      <c r="I514">
        <v>138</v>
      </c>
      <c r="J514" s="15">
        <v>1498</v>
      </c>
      <c r="K514" s="16">
        <f t="shared" ref="K514:K577" si="16">IFERROR(J514/F514,0)</f>
        <v>1.8725000000000001</v>
      </c>
      <c r="L514" s="15">
        <v>1298</v>
      </c>
      <c r="M514" s="16">
        <f t="shared" ref="M514:M577" si="17">IFERROR(L514/F514,0)</f>
        <v>1.6225000000000001</v>
      </c>
      <c r="N514" t="s">
        <v>242</v>
      </c>
    </row>
    <row r="515" spans="1:14" x14ac:dyDescent="0.25">
      <c r="A515" t="s">
        <v>472</v>
      </c>
      <c r="B515" t="s">
        <v>473</v>
      </c>
      <c r="C515" t="s">
        <v>1029</v>
      </c>
      <c r="D515">
        <v>2</v>
      </c>
      <c r="E515">
        <v>1</v>
      </c>
      <c r="F515">
        <v>800</v>
      </c>
      <c r="G515" s="14">
        <v>46023</v>
      </c>
      <c r="H515" s="14">
        <v>46049</v>
      </c>
      <c r="I515">
        <v>27</v>
      </c>
      <c r="J515" s="15">
        <v>1598</v>
      </c>
      <c r="K515" s="16">
        <f t="shared" si="16"/>
        <v>1.9975000000000001</v>
      </c>
      <c r="L515" s="15">
        <v>1352</v>
      </c>
      <c r="M515" s="16">
        <f t="shared" si="17"/>
        <v>1.69</v>
      </c>
      <c r="N515" t="s">
        <v>242</v>
      </c>
    </row>
    <row r="516" spans="1:14" x14ac:dyDescent="0.25">
      <c r="A516" t="s">
        <v>465</v>
      </c>
      <c r="B516" t="s">
        <v>593</v>
      </c>
      <c r="C516" t="s">
        <v>1030</v>
      </c>
      <c r="D516">
        <v>3</v>
      </c>
      <c r="E516">
        <v>2</v>
      </c>
      <c r="F516">
        <v>1181</v>
      </c>
      <c r="G516" s="14">
        <v>46035</v>
      </c>
      <c r="H516" s="14">
        <v>46049</v>
      </c>
      <c r="I516">
        <v>15</v>
      </c>
      <c r="J516" s="15">
        <v>1714</v>
      </c>
      <c r="K516" s="16">
        <f t="shared" si="16"/>
        <v>1.4513124470787468</v>
      </c>
      <c r="L516" s="15">
        <v>1347</v>
      </c>
      <c r="M516" s="16">
        <f t="shared" si="17"/>
        <v>1.1405588484335309</v>
      </c>
      <c r="N516" t="s">
        <v>242</v>
      </c>
    </row>
    <row r="517" spans="1:14" x14ac:dyDescent="0.25">
      <c r="A517" t="s">
        <v>451</v>
      </c>
      <c r="B517" t="s">
        <v>533</v>
      </c>
      <c r="C517" t="s">
        <v>1031</v>
      </c>
      <c r="D517">
        <v>1</v>
      </c>
      <c r="E517">
        <v>1</v>
      </c>
      <c r="F517">
        <v>600</v>
      </c>
      <c r="G517" s="14">
        <v>45738</v>
      </c>
      <c r="H517" s="14">
        <v>46050</v>
      </c>
      <c r="I517">
        <v>313</v>
      </c>
      <c r="J517" s="15">
        <v>1000</v>
      </c>
      <c r="K517" s="16">
        <f t="shared" si="16"/>
        <v>1.6666666666666667</v>
      </c>
      <c r="L517" s="15">
        <v>833</v>
      </c>
      <c r="M517" s="16">
        <f t="shared" si="17"/>
        <v>1.3883333333333334</v>
      </c>
      <c r="N517" t="s">
        <v>242</v>
      </c>
    </row>
    <row r="518" spans="1:14" x14ac:dyDescent="0.25">
      <c r="A518" t="s">
        <v>451</v>
      </c>
      <c r="B518" t="s">
        <v>468</v>
      </c>
      <c r="C518" t="s">
        <v>1032</v>
      </c>
      <c r="D518">
        <v>2</v>
      </c>
      <c r="E518">
        <v>2</v>
      </c>
      <c r="F518">
        <v>810</v>
      </c>
      <c r="G518" s="14">
        <v>45863</v>
      </c>
      <c r="H518" s="14">
        <v>46050</v>
      </c>
      <c r="I518">
        <v>188</v>
      </c>
      <c r="J518" s="15">
        <v>1200</v>
      </c>
      <c r="K518" s="16">
        <f t="shared" si="16"/>
        <v>1.4814814814814814</v>
      </c>
      <c r="L518" s="15">
        <v>1000</v>
      </c>
      <c r="M518" s="16">
        <f t="shared" si="17"/>
        <v>1.2345679012345678</v>
      </c>
      <c r="N518" t="s">
        <v>242</v>
      </c>
    </row>
    <row r="519" spans="1:14" x14ac:dyDescent="0.25">
      <c r="A519" t="s">
        <v>465</v>
      </c>
      <c r="B519" t="s">
        <v>551</v>
      </c>
      <c r="C519" t="s">
        <v>1033</v>
      </c>
      <c r="D519">
        <v>1</v>
      </c>
      <c r="E519">
        <v>1</v>
      </c>
      <c r="F519">
        <v>757</v>
      </c>
      <c r="G519" s="14">
        <v>45913</v>
      </c>
      <c r="H519" s="14">
        <v>46050</v>
      </c>
      <c r="I519">
        <v>138</v>
      </c>
      <c r="J519" s="15">
        <v>1230</v>
      </c>
      <c r="K519" s="16">
        <f t="shared" si="16"/>
        <v>1.6248348745046235</v>
      </c>
      <c r="L519" s="15">
        <v>966</v>
      </c>
      <c r="M519" s="16">
        <f t="shared" si="17"/>
        <v>1.2760898282694848</v>
      </c>
      <c r="N519" t="s">
        <v>242</v>
      </c>
    </row>
    <row r="520" spans="1:14" x14ac:dyDescent="0.25">
      <c r="A520" t="s">
        <v>465</v>
      </c>
      <c r="B520" t="s">
        <v>502</v>
      </c>
      <c r="C520" t="s">
        <v>1034</v>
      </c>
      <c r="D520">
        <v>2</v>
      </c>
      <c r="E520">
        <v>2</v>
      </c>
      <c r="F520">
        <v>1011</v>
      </c>
      <c r="G520" s="14">
        <v>46021</v>
      </c>
      <c r="H520" s="14">
        <v>46050</v>
      </c>
      <c r="I520">
        <v>30</v>
      </c>
      <c r="J520" s="15">
        <v>1349</v>
      </c>
      <c r="K520" s="16">
        <f t="shared" si="16"/>
        <v>1.334322453016815</v>
      </c>
      <c r="L520" s="15">
        <v>1038</v>
      </c>
      <c r="M520" s="16">
        <f t="shared" si="17"/>
        <v>1.0267062314540059</v>
      </c>
      <c r="N520" t="s">
        <v>242</v>
      </c>
    </row>
    <row r="521" spans="1:14" x14ac:dyDescent="0.25">
      <c r="A521" t="s">
        <v>465</v>
      </c>
      <c r="B521" t="s">
        <v>502</v>
      </c>
      <c r="C521" t="s">
        <v>1035</v>
      </c>
      <c r="D521">
        <v>2</v>
      </c>
      <c r="E521">
        <v>2</v>
      </c>
      <c r="F521">
        <v>1011</v>
      </c>
      <c r="G521" s="14">
        <v>46005</v>
      </c>
      <c r="H521" s="14">
        <v>46050</v>
      </c>
      <c r="I521">
        <v>46</v>
      </c>
      <c r="J521" s="15">
        <v>1359</v>
      </c>
      <c r="K521" s="16">
        <f t="shared" si="16"/>
        <v>1.3442136498516319</v>
      </c>
      <c r="L521" s="15">
        <v>1045</v>
      </c>
      <c r="M521" s="16">
        <f t="shared" si="17"/>
        <v>1.0336300692383777</v>
      </c>
      <c r="N521" t="s">
        <v>242</v>
      </c>
    </row>
    <row r="522" spans="1:14" x14ac:dyDescent="0.25">
      <c r="A522" t="s">
        <v>465</v>
      </c>
      <c r="B522" t="s">
        <v>601</v>
      </c>
      <c r="C522" t="s">
        <v>1036</v>
      </c>
      <c r="D522">
        <v>2</v>
      </c>
      <c r="E522">
        <v>2</v>
      </c>
      <c r="F522">
        <v>1081</v>
      </c>
      <c r="G522" s="14">
        <v>45945</v>
      </c>
      <c r="H522" s="14">
        <v>46050</v>
      </c>
      <c r="I522">
        <v>106</v>
      </c>
      <c r="J522" s="15">
        <v>1389</v>
      </c>
      <c r="K522" s="16">
        <f t="shared" si="16"/>
        <v>1.2849213691026826</v>
      </c>
      <c r="L522" s="15">
        <v>1068</v>
      </c>
      <c r="M522" s="16">
        <f t="shared" si="17"/>
        <v>0.98797409805735426</v>
      </c>
      <c r="N522" t="s">
        <v>242</v>
      </c>
    </row>
    <row r="523" spans="1:14" x14ac:dyDescent="0.25">
      <c r="A523" t="s">
        <v>457</v>
      </c>
      <c r="B523" t="s">
        <v>1037</v>
      </c>
      <c r="C523" t="s">
        <v>1038</v>
      </c>
      <c r="D523">
        <v>1</v>
      </c>
      <c r="E523">
        <v>1</v>
      </c>
      <c r="F523">
        <v>541</v>
      </c>
      <c r="G523" s="14">
        <v>45759</v>
      </c>
      <c r="H523" s="14">
        <v>46051</v>
      </c>
      <c r="I523">
        <v>293</v>
      </c>
      <c r="J523" s="15">
        <v>1080</v>
      </c>
      <c r="K523" s="16">
        <f t="shared" si="16"/>
        <v>1.9963031423290203</v>
      </c>
      <c r="L523" s="15">
        <v>810</v>
      </c>
      <c r="M523" s="16">
        <f t="shared" si="17"/>
        <v>1.4972273567467653</v>
      </c>
      <c r="N523" t="s">
        <v>242</v>
      </c>
    </row>
    <row r="524" spans="1:14" x14ac:dyDescent="0.25">
      <c r="A524" t="s">
        <v>477</v>
      </c>
      <c r="B524" t="s">
        <v>478</v>
      </c>
      <c r="C524" t="s">
        <v>1039</v>
      </c>
      <c r="D524">
        <v>1</v>
      </c>
      <c r="E524">
        <v>1</v>
      </c>
      <c r="F524">
        <v>771</v>
      </c>
      <c r="G524" s="14">
        <v>46014</v>
      </c>
      <c r="H524" s="14">
        <v>46052</v>
      </c>
      <c r="I524">
        <v>39</v>
      </c>
      <c r="J524" s="15">
        <v>1031</v>
      </c>
      <c r="K524" s="16">
        <f t="shared" si="16"/>
        <v>1.3372243839169908</v>
      </c>
      <c r="L524" s="15">
        <v>1031</v>
      </c>
      <c r="M524" s="16">
        <f t="shared" si="17"/>
        <v>1.3372243839169908</v>
      </c>
      <c r="N524" t="s">
        <v>242</v>
      </c>
    </row>
    <row r="525" spans="1:14" x14ac:dyDescent="0.25">
      <c r="A525" t="s">
        <v>477</v>
      </c>
      <c r="B525" t="s">
        <v>812</v>
      </c>
      <c r="C525" t="s">
        <v>1040</v>
      </c>
      <c r="D525">
        <v>4</v>
      </c>
      <c r="E525">
        <v>2</v>
      </c>
      <c r="F525">
        <v>1444</v>
      </c>
      <c r="G525" s="14">
        <v>46050</v>
      </c>
      <c r="H525" s="14">
        <v>46052</v>
      </c>
      <c r="I525">
        <v>3</v>
      </c>
      <c r="J525" s="15">
        <v>1543</v>
      </c>
      <c r="K525" s="16">
        <f t="shared" si="16"/>
        <v>1.0685595567867037</v>
      </c>
      <c r="L525" s="15">
        <v>1543</v>
      </c>
      <c r="M525" s="16">
        <f t="shared" si="17"/>
        <v>1.0685595567867037</v>
      </c>
      <c r="N525" t="s">
        <v>242</v>
      </c>
    </row>
    <row r="526" spans="1:14" x14ac:dyDescent="0.25">
      <c r="A526" t="s">
        <v>454</v>
      </c>
      <c r="B526" t="s">
        <v>481</v>
      </c>
      <c r="C526" t="s">
        <v>1041</v>
      </c>
      <c r="D526">
        <v>2</v>
      </c>
      <c r="E526">
        <v>2</v>
      </c>
      <c r="F526">
        <v>1001</v>
      </c>
      <c r="G526" s="14">
        <v>46030</v>
      </c>
      <c r="H526" s="14">
        <v>46052</v>
      </c>
      <c r="I526">
        <v>23</v>
      </c>
      <c r="J526" s="15">
        <v>1225</v>
      </c>
      <c r="K526" s="16">
        <f t="shared" si="16"/>
        <v>1.2237762237762237</v>
      </c>
      <c r="L526" s="15">
        <v>1225</v>
      </c>
      <c r="M526" s="16">
        <f t="shared" si="17"/>
        <v>1.2237762237762237</v>
      </c>
      <c r="N526" t="s">
        <v>242</v>
      </c>
    </row>
    <row r="527" spans="1:14" x14ac:dyDescent="0.25">
      <c r="A527" t="s">
        <v>472</v>
      </c>
      <c r="B527" t="s">
        <v>473</v>
      </c>
      <c r="C527" t="s">
        <v>1042</v>
      </c>
      <c r="D527">
        <v>2</v>
      </c>
      <c r="E527">
        <v>1</v>
      </c>
      <c r="F527">
        <v>800</v>
      </c>
      <c r="G527" s="14">
        <v>45926</v>
      </c>
      <c r="H527" s="14">
        <v>46052</v>
      </c>
      <c r="I527">
        <v>127</v>
      </c>
      <c r="J527" s="15">
        <v>1248</v>
      </c>
      <c r="K527" s="16">
        <f t="shared" si="16"/>
        <v>1.56</v>
      </c>
      <c r="L527" s="15">
        <v>1082</v>
      </c>
      <c r="M527" s="16">
        <f t="shared" si="17"/>
        <v>1.3525</v>
      </c>
      <c r="N527" t="s">
        <v>242</v>
      </c>
    </row>
    <row r="528" spans="1:14" x14ac:dyDescent="0.25">
      <c r="A528" t="s">
        <v>472</v>
      </c>
      <c r="B528" t="s">
        <v>473</v>
      </c>
      <c r="C528" t="s">
        <v>1043</v>
      </c>
      <c r="D528">
        <v>2</v>
      </c>
      <c r="E528">
        <v>1</v>
      </c>
      <c r="F528">
        <v>800</v>
      </c>
      <c r="G528" s="14">
        <v>45965</v>
      </c>
      <c r="H528" s="14">
        <v>46052</v>
      </c>
      <c r="I528">
        <v>88</v>
      </c>
      <c r="J528" s="15">
        <v>1498</v>
      </c>
      <c r="K528" s="16">
        <f t="shared" si="16"/>
        <v>1.8725000000000001</v>
      </c>
      <c r="L528" s="15">
        <v>1298</v>
      </c>
      <c r="M528" s="16">
        <f t="shared" si="17"/>
        <v>1.6225000000000001</v>
      </c>
      <c r="N528" t="s">
        <v>242</v>
      </c>
    </row>
    <row r="529" spans="1:14" x14ac:dyDescent="0.25">
      <c r="A529" t="s">
        <v>457</v>
      </c>
      <c r="B529" t="s">
        <v>683</v>
      </c>
      <c r="C529" t="s">
        <v>1044</v>
      </c>
      <c r="D529">
        <v>1</v>
      </c>
      <c r="E529">
        <v>1</v>
      </c>
      <c r="F529">
        <v>762</v>
      </c>
      <c r="G529" s="14">
        <v>45997</v>
      </c>
      <c r="H529" s="14">
        <v>46052</v>
      </c>
      <c r="I529">
        <v>56</v>
      </c>
      <c r="J529" s="15">
        <v>1095</v>
      </c>
      <c r="K529" s="16">
        <f t="shared" si="16"/>
        <v>1.4370078740157479</v>
      </c>
      <c r="L529" s="15">
        <v>821</v>
      </c>
      <c r="M529" s="16">
        <f t="shared" si="17"/>
        <v>1.0774278215223096</v>
      </c>
      <c r="N529" t="s">
        <v>242</v>
      </c>
    </row>
    <row r="530" spans="1:14" x14ac:dyDescent="0.25">
      <c r="A530" t="s">
        <v>465</v>
      </c>
      <c r="B530" t="s">
        <v>502</v>
      </c>
      <c r="C530" t="s">
        <v>1045</v>
      </c>
      <c r="D530">
        <v>2</v>
      </c>
      <c r="E530">
        <v>2</v>
      </c>
      <c r="F530">
        <v>1011</v>
      </c>
      <c r="G530" s="14">
        <v>46006</v>
      </c>
      <c r="H530" s="14">
        <v>46052</v>
      </c>
      <c r="I530">
        <v>47</v>
      </c>
      <c r="J530" s="15">
        <v>1379</v>
      </c>
      <c r="K530" s="16">
        <f t="shared" si="16"/>
        <v>1.3639960435212661</v>
      </c>
      <c r="L530" s="15">
        <v>1034</v>
      </c>
      <c r="M530" s="16">
        <f t="shared" si="17"/>
        <v>1.0227497527200791</v>
      </c>
      <c r="N530" t="s">
        <v>242</v>
      </c>
    </row>
    <row r="531" spans="1:14" x14ac:dyDescent="0.25">
      <c r="A531" t="s">
        <v>451</v>
      </c>
      <c r="B531" t="s">
        <v>725</v>
      </c>
      <c r="C531" t="s">
        <v>1046</v>
      </c>
      <c r="D531">
        <v>1</v>
      </c>
      <c r="E531">
        <v>1</v>
      </c>
      <c r="F531">
        <v>615</v>
      </c>
      <c r="G531" s="14">
        <v>45765</v>
      </c>
      <c r="H531" s="14">
        <v>46053</v>
      </c>
      <c r="I531">
        <v>289</v>
      </c>
      <c r="J531" s="15">
        <v>1000</v>
      </c>
      <c r="K531" s="16">
        <f t="shared" si="16"/>
        <v>1.6260162601626016</v>
      </c>
      <c r="L531" s="15">
        <v>833</v>
      </c>
      <c r="M531" s="16">
        <f t="shared" si="17"/>
        <v>1.3544715447154472</v>
      </c>
      <c r="N531" t="s">
        <v>242</v>
      </c>
    </row>
    <row r="532" spans="1:14" x14ac:dyDescent="0.25">
      <c r="A532" t="s">
        <v>451</v>
      </c>
      <c r="B532" t="s">
        <v>468</v>
      </c>
      <c r="C532" t="s">
        <v>1047</v>
      </c>
      <c r="D532">
        <v>2</v>
      </c>
      <c r="E532">
        <v>2</v>
      </c>
      <c r="F532">
        <v>810</v>
      </c>
      <c r="G532" s="14">
        <v>45859</v>
      </c>
      <c r="H532" s="14">
        <v>46053</v>
      </c>
      <c r="I532">
        <v>195</v>
      </c>
      <c r="J532" s="15">
        <v>1200</v>
      </c>
      <c r="K532" s="16">
        <f t="shared" si="16"/>
        <v>1.4814814814814814</v>
      </c>
      <c r="L532" s="15">
        <v>1000</v>
      </c>
      <c r="M532" s="16">
        <f t="shared" si="17"/>
        <v>1.2345679012345678</v>
      </c>
      <c r="N532" t="s">
        <v>242</v>
      </c>
    </row>
    <row r="533" spans="1:14" x14ac:dyDescent="0.25">
      <c r="A533" t="s">
        <v>457</v>
      </c>
      <c r="B533" t="s">
        <v>633</v>
      </c>
      <c r="C533" t="s">
        <v>1048</v>
      </c>
      <c r="D533">
        <v>1</v>
      </c>
      <c r="E533">
        <v>1</v>
      </c>
      <c r="F533">
        <v>541</v>
      </c>
      <c r="G533" s="14">
        <v>46000</v>
      </c>
      <c r="H533" s="14">
        <v>46053</v>
      </c>
      <c r="I533">
        <v>54</v>
      </c>
      <c r="J533" s="15">
        <v>995</v>
      </c>
      <c r="K533" s="16">
        <f t="shared" si="16"/>
        <v>1.8391866913123844</v>
      </c>
      <c r="L533" s="15">
        <v>765</v>
      </c>
      <c r="M533" s="16">
        <f t="shared" si="17"/>
        <v>1.4140480591497226</v>
      </c>
      <c r="N533" t="s">
        <v>242</v>
      </c>
    </row>
    <row r="534" spans="1:14" x14ac:dyDescent="0.25">
      <c r="A534" t="s">
        <v>457</v>
      </c>
      <c r="B534" t="s">
        <v>683</v>
      </c>
      <c r="C534" t="s">
        <v>1049</v>
      </c>
      <c r="D534">
        <v>1</v>
      </c>
      <c r="E534">
        <v>1</v>
      </c>
      <c r="F534">
        <v>762</v>
      </c>
      <c r="G534" s="14">
        <v>45994</v>
      </c>
      <c r="H534" s="14">
        <v>46053</v>
      </c>
      <c r="I534">
        <v>60</v>
      </c>
      <c r="J534" s="15">
        <v>1110</v>
      </c>
      <c r="K534" s="16">
        <f t="shared" si="16"/>
        <v>1.4566929133858268</v>
      </c>
      <c r="L534" s="15">
        <v>854</v>
      </c>
      <c r="M534" s="16">
        <f t="shared" si="17"/>
        <v>1.120734908136483</v>
      </c>
      <c r="N534" t="s">
        <v>242</v>
      </c>
    </row>
    <row r="535" spans="1:14" x14ac:dyDescent="0.25">
      <c r="A535" t="s">
        <v>457</v>
      </c>
      <c r="B535" t="s">
        <v>523</v>
      </c>
      <c r="C535" t="s">
        <v>1050</v>
      </c>
      <c r="D535">
        <v>2</v>
      </c>
      <c r="E535">
        <v>2</v>
      </c>
      <c r="F535">
        <v>1001</v>
      </c>
      <c r="G535" s="14">
        <v>45861</v>
      </c>
      <c r="H535" s="14">
        <v>46053</v>
      </c>
      <c r="I535">
        <v>193</v>
      </c>
      <c r="J535" s="15">
        <v>1294</v>
      </c>
      <c r="K535" s="16">
        <f t="shared" si="16"/>
        <v>1.2927072927072927</v>
      </c>
      <c r="L535" s="15">
        <v>970</v>
      </c>
      <c r="M535" s="16">
        <f t="shared" si="17"/>
        <v>0.96903096903096908</v>
      </c>
      <c r="N535" t="s">
        <v>242</v>
      </c>
    </row>
    <row r="536" spans="1:14" x14ac:dyDescent="0.25">
      <c r="A536" t="s">
        <v>465</v>
      </c>
      <c r="B536" t="s">
        <v>603</v>
      </c>
      <c r="C536" t="s">
        <v>1051</v>
      </c>
      <c r="D536">
        <v>2</v>
      </c>
      <c r="E536">
        <v>2</v>
      </c>
      <c r="F536">
        <v>1011</v>
      </c>
      <c r="G536" s="14">
        <v>45979</v>
      </c>
      <c r="H536" s="14">
        <v>46053</v>
      </c>
      <c r="I536">
        <v>75</v>
      </c>
      <c r="J536" s="15">
        <v>1239</v>
      </c>
      <c r="K536" s="16">
        <f t="shared" si="16"/>
        <v>1.2255192878338279</v>
      </c>
      <c r="L536" s="15">
        <v>974</v>
      </c>
      <c r="M536" s="16">
        <f t="shared" si="17"/>
        <v>0.96340257171117705</v>
      </c>
      <c r="N536" t="s">
        <v>242</v>
      </c>
    </row>
    <row r="537" spans="1:14" x14ac:dyDescent="0.25">
      <c r="A537" t="s">
        <v>472</v>
      </c>
      <c r="B537" t="s">
        <v>473</v>
      </c>
      <c r="C537" t="s">
        <v>1052</v>
      </c>
      <c r="D537">
        <v>2</v>
      </c>
      <c r="E537">
        <v>1</v>
      </c>
      <c r="F537">
        <v>800</v>
      </c>
      <c r="G537" s="14">
        <v>46009</v>
      </c>
      <c r="H537" s="14">
        <v>46054</v>
      </c>
      <c r="I537">
        <v>46</v>
      </c>
      <c r="J537" s="15">
        <v>1823</v>
      </c>
      <c r="K537" s="16">
        <f t="shared" si="16"/>
        <v>2.2787500000000001</v>
      </c>
      <c r="L537" s="15">
        <v>1580</v>
      </c>
      <c r="M537" s="16">
        <f t="shared" si="17"/>
        <v>1.9750000000000001</v>
      </c>
      <c r="N537" t="s">
        <v>283</v>
      </c>
    </row>
    <row r="538" spans="1:14" x14ac:dyDescent="0.25">
      <c r="A538" t="s">
        <v>472</v>
      </c>
      <c r="B538" t="s">
        <v>676</v>
      </c>
      <c r="C538" t="s">
        <v>1053</v>
      </c>
      <c r="D538">
        <v>3</v>
      </c>
      <c r="E538">
        <v>2</v>
      </c>
      <c r="F538">
        <v>1000</v>
      </c>
      <c r="G538" s="14">
        <v>46023</v>
      </c>
      <c r="H538" s="14">
        <v>46054</v>
      </c>
      <c r="I538">
        <v>32</v>
      </c>
      <c r="J538" s="15">
        <v>2085</v>
      </c>
      <c r="K538" s="16">
        <f t="shared" si="16"/>
        <v>2.085</v>
      </c>
      <c r="L538" s="15">
        <v>1807</v>
      </c>
      <c r="M538" s="16">
        <f t="shared" si="17"/>
        <v>1.8069999999999999</v>
      </c>
      <c r="N538" t="s">
        <v>283</v>
      </c>
    </row>
    <row r="539" spans="1:14" x14ac:dyDescent="0.25">
      <c r="A539" t="s">
        <v>457</v>
      </c>
      <c r="B539" t="s">
        <v>778</v>
      </c>
      <c r="C539" t="s">
        <v>1054</v>
      </c>
      <c r="D539">
        <v>1</v>
      </c>
      <c r="E539">
        <v>1</v>
      </c>
      <c r="F539">
        <v>762</v>
      </c>
      <c r="G539" s="14">
        <v>46037</v>
      </c>
      <c r="H539" s="14">
        <v>46054</v>
      </c>
      <c r="I539">
        <v>18</v>
      </c>
      <c r="J539" s="15">
        <v>1145</v>
      </c>
      <c r="K539" s="16">
        <f t="shared" si="16"/>
        <v>1.5026246719160106</v>
      </c>
      <c r="L539" s="15">
        <v>881</v>
      </c>
      <c r="M539" s="16">
        <f t="shared" si="17"/>
        <v>1.1561679790026247</v>
      </c>
      <c r="N539" t="s">
        <v>283</v>
      </c>
    </row>
    <row r="540" spans="1:14" x14ac:dyDescent="0.25">
      <c r="A540" t="s">
        <v>457</v>
      </c>
      <c r="B540" t="s">
        <v>458</v>
      </c>
      <c r="C540" t="s">
        <v>1055</v>
      </c>
      <c r="D540">
        <v>1</v>
      </c>
      <c r="E540">
        <v>1</v>
      </c>
      <c r="F540">
        <v>762</v>
      </c>
      <c r="G540" s="14">
        <v>46008</v>
      </c>
      <c r="H540" s="14">
        <v>46054</v>
      </c>
      <c r="I540">
        <v>47</v>
      </c>
      <c r="J540" s="15">
        <v>1190</v>
      </c>
      <c r="K540" s="16">
        <f t="shared" si="16"/>
        <v>1.5616797900262467</v>
      </c>
      <c r="L540" s="15">
        <v>892</v>
      </c>
      <c r="M540" s="16">
        <f t="shared" si="17"/>
        <v>1.1706036745406825</v>
      </c>
      <c r="N540" t="s">
        <v>283</v>
      </c>
    </row>
    <row r="541" spans="1:14" x14ac:dyDescent="0.25">
      <c r="A541" t="s">
        <v>457</v>
      </c>
      <c r="B541" t="s">
        <v>562</v>
      </c>
      <c r="C541" t="s">
        <v>1056</v>
      </c>
      <c r="D541">
        <v>2</v>
      </c>
      <c r="E541">
        <v>2</v>
      </c>
      <c r="F541">
        <v>1001</v>
      </c>
      <c r="G541" s="14">
        <v>46049</v>
      </c>
      <c r="H541" s="14">
        <v>46054</v>
      </c>
      <c r="I541">
        <v>6</v>
      </c>
      <c r="J541" s="15">
        <v>1224</v>
      </c>
      <c r="K541" s="16">
        <f t="shared" si="16"/>
        <v>1.2227772227772227</v>
      </c>
      <c r="L541" s="15">
        <v>918</v>
      </c>
      <c r="M541" s="16">
        <f t="shared" si="17"/>
        <v>0.91708291708291712</v>
      </c>
      <c r="N541" t="s">
        <v>283</v>
      </c>
    </row>
    <row r="542" spans="1:14" x14ac:dyDescent="0.25">
      <c r="A542" t="s">
        <v>465</v>
      </c>
      <c r="B542" t="s">
        <v>551</v>
      </c>
      <c r="C542" t="s">
        <v>1057</v>
      </c>
      <c r="D542">
        <v>1</v>
      </c>
      <c r="E542">
        <v>1</v>
      </c>
      <c r="F542">
        <v>757</v>
      </c>
      <c r="G542" s="14">
        <v>46015</v>
      </c>
      <c r="H542" s="14">
        <v>46054</v>
      </c>
      <c r="I542">
        <v>40</v>
      </c>
      <c r="J542" s="15">
        <v>1150</v>
      </c>
      <c r="K542" s="16">
        <f t="shared" si="16"/>
        <v>1.5191545574636725</v>
      </c>
      <c r="L542" s="15">
        <v>885</v>
      </c>
      <c r="M542" s="16">
        <f t="shared" si="17"/>
        <v>1.1690885072655217</v>
      </c>
      <c r="N542" t="s">
        <v>283</v>
      </c>
    </row>
    <row r="543" spans="1:14" x14ac:dyDescent="0.25">
      <c r="A543" t="s">
        <v>451</v>
      </c>
      <c r="B543" t="s">
        <v>460</v>
      </c>
      <c r="C543" t="s">
        <v>1058</v>
      </c>
      <c r="D543">
        <v>1</v>
      </c>
      <c r="E543">
        <v>1</v>
      </c>
      <c r="F543">
        <v>726</v>
      </c>
      <c r="G543" s="14">
        <v>46049</v>
      </c>
      <c r="H543" s="14">
        <v>46055</v>
      </c>
      <c r="I543">
        <v>7</v>
      </c>
      <c r="J543" s="15">
        <v>1000</v>
      </c>
      <c r="K543" s="16">
        <f t="shared" si="16"/>
        <v>1.3774104683195592</v>
      </c>
      <c r="L543" s="15">
        <v>833</v>
      </c>
      <c r="M543" s="16">
        <f t="shared" si="17"/>
        <v>1.1473829201101928</v>
      </c>
      <c r="N543" t="s">
        <v>283</v>
      </c>
    </row>
    <row r="544" spans="1:14" x14ac:dyDescent="0.25">
      <c r="A544" t="s">
        <v>457</v>
      </c>
      <c r="B544" t="s">
        <v>1037</v>
      </c>
      <c r="C544" t="s">
        <v>1059</v>
      </c>
      <c r="D544">
        <v>1</v>
      </c>
      <c r="E544">
        <v>1</v>
      </c>
      <c r="F544">
        <v>541</v>
      </c>
      <c r="G544" s="14">
        <v>45937</v>
      </c>
      <c r="H544" s="14">
        <v>46055</v>
      </c>
      <c r="I544">
        <v>119</v>
      </c>
      <c r="J544" s="15">
        <v>1095</v>
      </c>
      <c r="K544" s="16">
        <f t="shared" si="16"/>
        <v>2.0240295748613679</v>
      </c>
      <c r="L544" s="15">
        <v>821</v>
      </c>
      <c r="M544" s="16">
        <f t="shared" si="17"/>
        <v>1.5175600739371533</v>
      </c>
      <c r="N544" t="s">
        <v>283</v>
      </c>
    </row>
    <row r="545" spans="1:14" x14ac:dyDescent="0.25">
      <c r="A545" t="s">
        <v>457</v>
      </c>
      <c r="B545" t="s">
        <v>458</v>
      </c>
      <c r="C545" t="s">
        <v>1060</v>
      </c>
      <c r="D545">
        <v>1</v>
      </c>
      <c r="E545">
        <v>1</v>
      </c>
      <c r="F545">
        <v>762</v>
      </c>
      <c r="G545" s="14">
        <v>46025</v>
      </c>
      <c r="H545" s="14">
        <v>46055</v>
      </c>
      <c r="I545">
        <v>31</v>
      </c>
      <c r="J545" s="15">
        <v>1190</v>
      </c>
      <c r="K545" s="16">
        <f t="shared" si="16"/>
        <v>1.5616797900262467</v>
      </c>
      <c r="L545" s="15">
        <v>892</v>
      </c>
      <c r="M545" s="16">
        <f t="shared" si="17"/>
        <v>1.1706036745406825</v>
      </c>
      <c r="N545" t="s">
        <v>283</v>
      </c>
    </row>
    <row r="546" spans="1:14" x14ac:dyDescent="0.25">
      <c r="A546" t="s">
        <v>457</v>
      </c>
      <c r="B546" t="s">
        <v>562</v>
      </c>
      <c r="C546" t="s">
        <v>1061</v>
      </c>
      <c r="D546">
        <v>2</v>
      </c>
      <c r="E546">
        <v>2</v>
      </c>
      <c r="F546">
        <v>1001</v>
      </c>
      <c r="G546" s="14">
        <v>45953</v>
      </c>
      <c r="H546" s="14">
        <v>46055</v>
      </c>
      <c r="I546">
        <v>103</v>
      </c>
      <c r="J546" s="15">
        <v>1224</v>
      </c>
      <c r="K546" s="16">
        <f t="shared" si="16"/>
        <v>1.2227772227772227</v>
      </c>
      <c r="L546" s="15">
        <v>918</v>
      </c>
      <c r="M546" s="16">
        <f t="shared" si="17"/>
        <v>0.91708291708291712</v>
      </c>
      <c r="N546" t="s">
        <v>283</v>
      </c>
    </row>
    <row r="547" spans="1:14" x14ac:dyDescent="0.25">
      <c r="A547" t="s">
        <v>451</v>
      </c>
      <c r="B547" t="s">
        <v>533</v>
      </c>
      <c r="C547" t="s">
        <v>767</v>
      </c>
      <c r="D547">
        <v>1</v>
      </c>
      <c r="E547">
        <v>1</v>
      </c>
      <c r="F547">
        <v>600</v>
      </c>
      <c r="G547" s="14">
        <v>46049</v>
      </c>
      <c r="H547" s="14">
        <v>46056</v>
      </c>
      <c r="I547">
        <v>8</v>
      </c>
      <c r="J547" s="15">
        <v>1000</v>
      </c>
      <c r="K547" s="16">
        <f t="shared" si="16"/>
        <v>1.6666666666666667</v>
      </c>
      <c r="L547" s="15">
        <v>833</v>
      </c>
      <c r="M547" s="16">
        <f t="shared" si="17"/>
        <v>1.3883333333333334</v>
      </c>
      <c r="N547" t="s">
        <v>283</v>
      </c>
    </row>
    <row r="548" spans="1:14" x14ac:dyDescent="0.25">
      <c r="A548" t="s">
        <v>457</v>
      </c>
      <c r="B548" t="s">
        <v>1037</v>
      </c>
      <c r="C548" t="s">
        <v>1062</v>
      </c>
      <c r="D548">
        <v>1</v>
      </c>
      <c r="E548">
        <v>1</v>
      </c>
      <c r="F548">
        <v>541</v>
      </c>
      <c r="G548" s="14">
        <v>46011</v>
      </c>
      <c r="H548" s="14">
        <v>46056</v>
      </c>
      <c r="I548">
        <v>46</v>
      </c>
      <c r="J548" s="15">
        <v>1095</v>
      </c>
      <c r="K548" s="16">
        <f t="shared" si="16"/>
        <v>2.0240295748613679</v>
      </c>
      <c r="L548" s="15">
        <v>842</v>
      </c>
      <c r="M548" s="16">
        <f t="shared" si="17"/>
        <v>1.5563770794824399</v>
      </c>
      <c r="N548" t="s">
        <v>283</v>
      </c>
    </row>
    <row r="549" spans="1:14" x14ac:dyDescent="0.25">
      <c r="A549" t="s">
        <v>457</v>
      </c>
      <c r="B549" t="s">
        <v>562</v>
      </c>
      <c r="C549" t="s">
        <v>1063</v>
      </c>
      <c r="D549">
        <v>2</v>
      </c>
      <c r="E549">
        <v>2</v>
      </c>
      <c r="F549">
        <v>1001</v>
      </c>
      <c r="G549" s="14">
        <v>45883</v>
      </c>
      <c r="H549" s="14">
        <v>46056</v>
      </c>
      <c r="I549">
        <v>174</v>
      </c>
      <c r="J549" s="15">
        <v>1224</v>
      </c>
      <c r="K549" s="16">
        <f t="shared" si="16"/>
        <v>1.2227772227772227</v>
      </c>
      <c r="L549" s="15">
        <v>918</v>
      </c>
      <c r="M549" s="16">
        <f t="shared" si="17"/>
        <v>0.91708291708291712</v>
      </c>
      <c r="N549" t="s">
        <v>283</v>
      </c>
    </row>
    <row r="550" spans="1:14" x14ac:dyDescent="0.25">
      <c r="A550" t="s">
        <v>457</v>
      </c>
      <c r="B550" t="s">
        <v>523</v>
      </c>
      <c r="C550" t="s">
        <v>1064</v>
      </c>
      <c r="D550">
        <v>2</v>
      </c>
      <c r="E550">
        <v>2</v>
      </c>
      <c r="F550">
        <v>1001</v>
      </c>
      <c r="G550" s="14">
        <v>46035</v>
      </c>
      <c r="H550" s="14">
        <v>46056</v>
      </c>
      <c r="I550">
        <v>22</v>
      </c>
      <c r="J550" s="15">
        <v>1279</v>
      </c>
      <c r="K550" s="16">
        <f t="shared" si="16"/>
        <v>1.2777222777222776</v>
      </c>
      <c r="L550" s="15">
        <v>959</v>
      </c>
      <c r="M550" s="16">
        <f t="shared" si="17"/>
        <v>0.95804195804195802</v>
      </c>
      <c r="N550" t="s">
        <v>283</v>
      </c>
    </row>
    <row r="551" spans="1:14" x14ac:dyDescent="0.25">
      <c r="A551" t="s">
        <v>465</v>
      </c>
      <c r="B551" t="s">
        <v>502</v>
      </c>
      <c r="C551" t="s">
        <v>1065</v>
      </c>
      <c r="D551">
        <v>2</v>
      </c>
      <c r="E551">
        <v>2</v>
      </c>
      <c r="F551">
        <v>1011</v>
      </c>
      <c r="G551" s="14">
        <v>46021</v>
      </c>
      <c r="H551" s="14">
        <v>46056</v>
      </c>
      <c r="I551">
        <v>36</v>
      </c>
      <c r="J551" s="15">
        <v>1284</v>
      </c>
      <c r="K551" s="16">
        <f t="shared" si="16"/>
        <v>1.2700296735905046</v>
      </c>
      <c r="L551" s="15">
        <v>963</v>
      </c>
      <c r="M551" s="16">
        <f t="shared" si="17"/>
        <v>0.95252225519287836</v>
      </c>
      <c r="N551" t="s">
        <v>283</v>
      </c>
    </row>
    <row r="552" spans="1:14" x14ac:dyDescent="0.25">
      <c r="A552" t="s">
        <v>465</v>
      </c>
      <c r="B552" t="s">
        <v>502</v>
      </c>
      <c r="C552" t="s">
        <v>1066</v>
      </c>
      <c r="D552">
        <v>2</v>
      </c>
      <c r="E552">
        <v>2</v>
      </c>
      <c r="F552">
        <v>1011</v>
      </c>
      <c r="G552" s="14">
        <v>46000</v>
      </c>
      <c r="H552" s="14">
        <v>46056</v>
      </c>
      <c r="I552">
        <v>57</v>
      </c>
      <c r="J552" s="15">
        <v>1414</v>
      </c>
      <c r="K552" s="16">
        <f t="shared" si="16"/>
        <v>1.3986152324431256</v>
      </c>
      <c r="L552" s="15">
        <v>1088</v>
      </c>
      <c r="M552" s="16">
        <f t="shared" si="17"/>
        <v>1.076162215628091</v>
      </c>
      <c r="N552" t="s">
        <v>283</v>
      </c>
    </row>
    <row r="553" spans="1:14" x14ac:dyDescent="0.25">
      <c r="A553" t="s">
        <v>477</v>
      </c>
      <c r="B553" t="s">
        <v>609</v>
      </c>
      <c r="C553" t="s">
        <v>1067</v>
      </c>
      <c r="D553">
        <v>2</v>
      </c>
      <c r="E553">
        <v>2</v>
      </c>
      <c r="F553">
        <v>1050</v>
      </c>
      <c r="G553" s="14">
        <v>45875</v>
      </c>
      <c r="H553" s="14">
        <v>46057</v>
      </c>
      <c r="I553">
        <v>183</v>
      </c>
      <c r="J553" s="15">
        <v>1217</v>
      </c>
      <c r="K553" s="16">
        <f t="shared" si="16"/>
        <v>1.1590476190476191</v>
      </c>
      <c r="L553" s="15">
        <v>1217</v>
      </c>
      <c r="M553" s="16">
        <f t="shared" si="17"/>
        <v>1.1590476190476191</v>
      </c>
      <c r="N553" t="s">
        <v>283</v>
      </c>
    </row>
    <row r="554" spans="1:14" x14ac:dyDescent="0.25">
      <c r="A554" t="s">
        <v>462</v>
      </c>
      <c r="B554" t="s">
        <v>463</v>
      </c>
      <c r="C554" t="s">
        <v>1068</v>
      </c>
      <c r="D554">
        <v>2</v>
      </c>
      <c r="E554">
        <v>2</v>
      </c>
      <c r="F554">
        <v>958</v>
      </c>
      <c r="G554" s="14">
        <v>45875</v>
      </c>
      <c r="H554" s="14">
        <v>46057</v>
      </c>
      <c r="I554">
        <v>183</v>
      </c>
      <c r="J554" s="15">
        <v>1650</v>
      </c>
      <c r="K554" s="16">
        <f t="shared" si="16"/>
        <v>1.7223382045929019</v>
      </c>
      <c r="L554" s="15">
        <v>1238</v>
      </c>
      <c r="M554" s="16">
        <f t="shared" si="17"/>
        <v>1.292275574112735</v>
      </c>
      <c r="N554" t="s">
        <v>283</v>
      </c>
    </row>
    <row r="555" spans="1:14" x14ac:dyDescent="0.25">
      <c r="A555" t="s">
        <v>462</v>
      </c>
      <c r="B555" t="s">
        <v>475</v>
      </c>
      <c r="C555" t="s">
        <v>1069</v>
      </c>
      <c r="D555">
        <v>2</v>
      </c>
      <c r="E555">
        <v>2</v>
      </c>
      <c r="F555">
        <v>1029</v>
      </c>
      <c r="G555" s="14">
        <v>45945</v>
      </c>
      <c r="H555" s="14">
        <v>46057</v>
      </c>
      <c r="I555">
        <v>113</v>
      </c>
      <c r="J555" s="15">
        <v>1575</v>
      </c>
      <c r="K555" s="16">
        <f t="shared" si="16"/>
        <v>1.5306122448979591</v>
      </c>
      <c r="L555" s="15">
        <v>1181</v>
      </c>
      <c r="M555" s="16">
        <f t="shared" si="17"/>
        <v>1.1477162293488825</v>
      </c>
      <c r="N555" t="s">
        <v>283</v>
      </c>
    </row>
    <row r="556" spans="1:14" x14ac:dyDescent="0.25">
      <c r="A556" t="s">
        <v>457</v>
      </c>
      <c r="B556" t="s">
        <v>523</v>
      </c>
      <c r="C556" t="s">
        <v>1070</v>
      </c>
      <c r="D556">
        <v>2</v>
      </c>
      <c r="E556">
        <v>2</v>
      </c>
      <c r="F556">
        <v>1001</v>
      </c>
      <c r="G556" s="14">
        <v>46044</v>
      </c>
      <c r="H556" s="14">
        <v>46057</v>
      </c>
      <c r="I556">
        <v>14</v>
      </c>
      <c r="J556" s="15">
        <v>1294</v>
      </c>
      <c r="K556" s="16">
        <f t="shared" si="16"/>
        <v>1.2927072927072927</v>
      </c>
      <c r="L556" s="15">
        <v>970</v>
      </c>
      <c r="M556" s="16">
        <f t="shared" si="17"/>
        <v>0.96903096903096908</v>
      </c>
      <c r="N556" t="s">
        <v>283</v>
      </c>
    </row>
    <row r="557" spans="1:14" x14ac:dyDescent="0.25">
      <c r="A557" t="s">
        <v>465</v>
      </c>
      <c r="B557" t="s">
        <v>1071</v>
      </c>
      <c r="C557" t="s">
        <v>1072</v>
      </c>
      <c r="D557">
        <v>2</v>
      </c>
      <c r="E557">
        <v>1</v>
      </c>
      <c r="F557">
        <v>912</v>
      </c>
      <c r="G557" s="14">
        <v>45810</v>
      </c>
      <c r="H557" s="14">
        <v>46057</v>
      </c>
      <c r="I557">
        <v>248</v>
      </c>
      <c r="J557" s="15">
        <v>1200</v>
      </c>
      <c r="K557" s="16">
        <f t="shared" si="16"/>
        <v>1.3157894736842106</v>
      </c>
      <c r="L557" s="15">
        <v>943</v>
      </c>
      <c r="M557" s="16">
        <f t="shared" si="17"/>
        <v>1.0339912280701755</v>
      </c>
      <c r="N557" t="s">
        <v>283</v>
      </c>
    </row>
    <row r="558" spans="1:14" x14ac:dyDescent="0.25">
      <c r="A558" t="s">
        <v>465</v>
      </c>
      <c r="B558" t="s">
        <v>500</v>
      </c>
      <c r="C558" t="s">
        <v>1073</v>
      </c>
      <c r="D558">
        <v>2</v>
      </c>
      <c r="E558">
        <v>1</v>
      </c>
      <c r="F558">
        <v>912</v>
      </c>
      <c r="G558" s="14">
        <v>45714</v>
      </c>
      <c r="H558" s="14">
        <v>46058</v>
      </c>
      <c r="I558">
        <v>345</v>
      </c>
      <c r="J558" s="15">
        <v>1230</v>
      </c>
      <c r="K558" s="16">
        <f t="shared" si="16"/>
        <v>1.3486842105263157</v>
      </c>
      <c r="L558" s="15">
        <v>966</v>
      </c>
      <c r="M558" s="16">
        <f t="shared" si="17"/>
        <v>1.0592105263157894</v>
      </c>
      <c r="N558" t="s">
        <v>283</v>
      </c>
    </row>
    <row r="559" spans="1:14" x14ac:dyDescent="0.25">
      <c r="A559" t="s">
        <v>451</v>
      </c>
      <c r="B559" t="s">
        <v>725</v>
      </c>
      <c r="C559" t="s">
        <v>1074</v>
      </c>
      <c r="D559">
        <v>1</v>
      </c>
      <c r="E559">
        <v>1</v>
      </c>
      <c r="F559">
        <v>615</v>
      </c>
      <c r="G559" s="14">
        <v>45982</v>
      </c>
      <c r="H559" s="14">
        <v>46059</v>
      </c>
      <c r="I559">
        <v>78</v>
      </c>
      <c r="J559" s="15">
        <v>1000</v>
      </c>
      <c r="K559" s="16">
        <f t="shared" si="16"/>
        <v>1.6260162601626016</v>
      </c>
      <c r="L559" s="15">
        <v>833</v>
      </c>
      <c r="M559" s="16">
        <f t="shared" si="17"/>
        <v>1.3544715447154472</v>
      </c>
      <c r="N559" t="s">
        <v>283</v>
      </c>
    </row>
    <row r="560" spans="1:14" x14ac:dyDescent="0.25">
      <c r="A560" t="s">
        <v>451</v>
      </c>
      <c r="B560" t="s">
        <v>468</v>
      </c>
      <c r="C560" t="s">
        <v>1075</v>
      </c>
      <c r="D560">
        <v>2</v>
      </c>
      <c r="E560">
        <v>2</v>
      </c>
      <c r="F560">
        <v>810</v>
      </c>
      <c r="G560" s="14">
        <v>45904</v>
      </c>
      <c r="H560" s="14">
        <v>46059</v>
      </c>
      <c r="I560">
        <v>156</v>
      </c>
      <c r="J560" s="15">
        <v>1200</v>
      </c>
      <c r="K560" s="16">
        <f t="shared" si="16"/>
        <v>1.4814814814814814</v>
      </c>
      <c r="L560" s="15">
        <v>1000</v>
      </c>
      <c r="M560" s="16">
        <f t="shared" si="17"/>
        <v>1.2345679012345678</v>
      </c>
      <c r="N560" t="s">
        <v>283</v>
      </c>
    </row>
    <row r="561" spans="1:14" x14ac:dyDescent="0.25">
      <c r="A561" t="s">
        <v>454</v>
      </c>
      <c r="B561" t="s">
        <v>1076</v>
      </c>
      <c r="C561" t="s">
        <v>1077</v>
      </c>
      <c r="D561">
        <v>2</v>
      </c>
      <c r="E561">
        <v>2</v>
      </c>
      <c r="F561">
        <v>1001</v>
      </c>
      <c r="G561" s="14">
        <v>46030</v>
      </c>
      <c r="H561" s="14">
        <v>46059</v>
      </c>
      <c r="I561">
        <v>30</v>
      </c>
      <c r="J561" s="15">
        <v>1275</v>
      </c>
      <c r="K561" s="16">
        <f t="shared" si="16"/>
        <v>1.2737262737262738</v>
      </c>
      <c r="L561" s="15">
        <v>1275</v>
      </c>
      <c r="M561" s="16">
        <f t="shared" si="17"/>
        <v>1.2737262737262738</v>
      </c>
      <c r="N561" t="s">
        <v>283</v>
      </c>
    </row>
    <row r="562" spans="1:14" x14ac:dyDescent="0.25">
      <c r="A562" t="s">
        <v>457</v>
      </c>
      <c r="B562" t="s">
        <v>523</v>
      </c>
      <c r="C562" t="s">
        <v>1078</v>
      </c>
      <c r="D562">
        <v>2</v>
      </c>
      <c r="E562">
        <v>2</v>
      </c>
      <c r="F562">
        <v>1001</v>
      </c>
      <c r="G562" s="14">
        <v>46046</v>
      </c>
      <c r="H562" s="14">
        <v>46059</v>
      </c>
      <c r="I562">
        <v>14</v>
      </c>
      <c r="J562" s="15">
        <v>1294</v>
      </c>
      <c r="K562" s="16">
        <f t="shared" si="16"/>
        <v>1.2927072927072927</v>
      </c>
      <c r="L562" s="15">
        <v>995</v>
      </c>
      <c r="M562" s="16">
        <f t="shared" si="17"/>
        <v>0.99400599400599399</v>
      </c>
      <c r="N562" t="s">
        <v>283</v>
      </c>
    </row>
    <row r="563" spans="1:14" x14ac:dyDescent="0.25">
      <c r="A563" t="s">
        <v>451</v>
      </c>
      <c r="B563" t="s">
        <v>468</v>
      </c>
      <c r="C563" t="s">
        <v>1079</v>
      </c>
      <c r="D563">
        <v>2</v>
      </c>
      <c r="E563">
        <v>2</v>
      </c>
      <c r="F563">
        <v>810</v>
      </c>
      <c r="G563" s="14">
        <v>45968</v>
      </c>
      <c r="H563" s="14">
        <v>46060</v>
      </c>
      <c r="I563">
        <v>93</v>
      </c>
      <c r="J563" s="15">
        <v>1200</v>
      </c>
      <c r="K563" s="16">
        <f t="shared" si="16"/>
        <v>1.4814814814814814</v>
      </c>
      <c r="L563" s="15">
        <v>1000</v>
      </c>
      <c r="M563" s="16">
        <f t="shared" si="17"/>
        <v>1.2345679012345678</v>
      </c>
      <c r="N563" t="s">
        <v>283</v>
      </c>
    </row>
    <row r="564" spans="1:14" x14ac:dyDescent="0.25">
      <c r="A564" t="s">
        <v>472</v>
      </c>
      <c r="B564" t="s">
        <v>676</v>
      </c>
      <c r="C564" t="s">
        <v>1080</v>
      </c>
      <c r="D564">
        <v>3</v>
      </c>
      <c r="E564">
        <v>2</v>
      </c>
      <c r="F564">
        <v>1000</v>
      </c>
      <c r="G564" s="14">
        <v>45953</v>
      </c>
      <c r="H564" s="14">
        <v>46060</v>
      </c>
      <c r="I564">
        <v>108</v>
      </c>
      <c r="J564" s="15">
        <v>2225</v>
      </c>
      <c r="K564" s="16">
        <f t="shared" si="16"/>
        <v>2.2250000000000001</v>
      </c>
      <c r="L564" s="15">
        <v>1907</v>
      </c>
      <c r="M564" s="16">
        <f t="shared" si="17"/>
        <v>1.907</v>
      </c>
      <c r="N564" t="s">
        <v>283</v>
      </c>
    </row>
    <row r="565" spans="1:14" x14ac:dyDescent="0.25">
      <c r="A565" t="s">
        <v>457</v>
      </c>
      <c r="B565" t="s">
        <v>1081</v>
      </c>
      <c r="C565" t="s">
        <v>1082</v>
      </c>
      <c r="D565">
        <v>1</v>
      </c>
      <c r="E565">
        <v>1</v>
      </c>
      <c r="F565">
        <v>541</v>
      </c>
      <c r="G565" s="14">
        <v>46059</v>
      </c>
      <c r="H565" s="14">
        <v>46060</v>
      </c>
      <c r="I565">
        <v>2</v>
      </c>
      <c r="J565" s="15">
        <v>1042</v>
      </c>
      <c r="K565" s="16">
        <f t="shared" si="16"/>
        <v>1.9260628465804066</v>
      </c>
      <c r="L565" s="15">
        <v>782</v>
      </c>
      <c r="M565" s="16">
        <f t="shared" si="17"/>
        <v>1.44547134935305</v>
      </c>
      <c r="N565" t="s">
        <v>283</v>
      </c>
    </row>
    <row r="566" spans="1:14" x14ac:dyDescent="0.25">
      <c r="A566" t="s">
        <v>457</v>
      </c>
      <c r="B566" t="s">
        <v>525</v>
      </c>
      <c r="C566" t="s">
        <v>1083</v>
      </c>
      <c r="D566">
        <v>2</v>
      </c>
      <c r="E566">
        <v>2</v>
      </c>
      <c r="F566">
        <v>1001</v>
      </c>
      <c r="G566" s="14">
        <v>45871</v>
      </c>
      <c r="H566" s="14">
        <v>46060</v>
      </c>
      <c r="I566">
        <v>190</v>
      </c>
      <c r="J566" s="15">
        <v>1418</v>
      </c>
      <c r="K566" s="16">
        <f t="shared" si="16"/>
        <v>1.4165834165834166</v>
      </c>
      <c r="L566" s="15">
        <v>1114</v>
      </c>
      <c r="M566" s="16">
        <f t="shared" si="17"/>
        <v>1.112887112887113</v>
      </c>
      <c r="N566" t="s">
        <v>283</v>
      </c>
    </row>
    <row r="567" spans="1:14" x14ac:dyDescent="0.25">
      <c r="A567" t="s">
        <v>465</v>
      </c>
      <c r="B567" t="s">
        <v>567</v>
      </c>
      <c r="C567" t="s">
        <v>1084</v>
      </c>
      <c r="D567">
        <v>1</v>
      </c>
      <c r="E567">
        <v>1</v>
      </c>
      <c r="F567">
        <v>757</v>
      </c>
      <c r="G567" s="14">
        <v>46021</v>
      </c>
      <c r="H567" s="14">
        <v>46060</v>
      </c>
      <c r="I567">
        <v>40</v>
      </c>
      <c r="J567" s="15">
        <v>1120</v>
      </c>
      <c r="K567" s="16">
        <f t="shared" si="16"/>
        <v>1.4795244385733157</v>
      </c>
      <c r="L567" s="15">
        <v>862</v>
      </c>
      <c r="M567" s="16">
        <f t="shared" si="17"/>
        <v>1.1387054161162484</v>
      </c>
      <c r="N567" t="s">
        <v>283</v>
      </c>
    </row>
    <row r="568" spans="1:14" x14ac:dyDescent="0.25">
      <c r="A568" t="s">
        <v>465</v>
      </c>
      <c r="B568" t="s">
        <v>984</v>
      </c>
      <c r="C568" t="s">
        <v>1085</v>
      </c>
      <c r="D568">
        <v>1</v>
      </c>
      <c r="E568">
        <v>1</v>
      </c>
      <c r="F568">
        <v>532</v>
      </c>
      <c r="G568" s="14">
        <v>46035</v>
      </c>
      <c r="H568" s="14">
        <v>46061</v>
      </c>
      <c r="I568">
        <v>27</v>
      </c>
      <c r="J568" s="15">
        <v>1070</v>
      </c>
      <c r="K568" s="16">
        <f t="shared" si="16"/>
        <v>2.011278195488722</v>
      </c>
      <c r="L568" s="15">
        <v>823</v>
      </c>
      <c r="M568" s="16">
        <f t="shared" si="17"/>
        <v>1.5469924812030076</v>
      </c>
      <c r="N568" t="s">
        <v>283</v>
      </c>
    </row>
    <row r="569" spans="1:14" x14ac:dyDescent="0.25">
      <c r="A569" t="s">
        <v>465</v>
      </c>
      <c r="B569" t="s">
        <v>466</v>
      </c>
      <c r="C569" t="s">
        <v>1086</v>
      </c>
      <c r="D569">
        <v>1</v>
      </c>
      <c r="E569">
        <v>1</v>
      </c>
      <c r="F569">
        <v>757</v>
      </c>
      <c r="G569" s="14">
        <v>45904</v>
      </c>
      <c r="H569" s="14">
        <v>46061</v>
      </c>
      <c r="I569">
        <v>158</v>
      </c>
      <c r="J569" s="15">
        <v>1140</v>
      </c>
      <c r="K569" s="16">
        <f t="shared" si="16"/>
        <v>1.5059445178335535</v>
      </c>
      <c r="L569" s="15">
        <v>877</v>
      </c>
      <c r="M569" s="16">
        <f t="shared" si="17"/>
        <v>1.1585204755614267</v>
      </c>
      <c r="N569" t="s">
        <v>283</v>
      </c>
    </row>
    <row r="570" spans="1:14" x14ac:dyDescent="0.25">
      <c r="A570" t="s">
        <v>465</v>
      </c>
      <c r="B570" t="s">
        <v>567</v>
      </c>
      <c r="C570" t="s">
        <v>1087</v>
      </c>
      <c r="D570">
        <v>1</v>
      </c>
      <c r="E570">
        <v>1</v>
      </c>
      <c r="F570">
        <v>757</v>
      </c>
      <c r="G570" s="14">
        <v>45968</v>
      </c>
      <c r="H570" s="14">
        <v>46061</v>
      </c>
      <c r="I570">
        <v>94</v>
      </c>
      <c r="J570" s="15">
        <v>1140</v>
      </c>
      <c r="K570" s="16">
        <f t="shared" si="16"/>
        <v>1.5059445178335535</v>
      </c>
      <c r="L570" s="15">
        <v>877</v>
      </c>
      <c r="M570" s="16">
        <f t="shared" si="17"/>
        <v>1.1585204755614267</v>
      </c>
      <c r="N570" t="s">
        <v>283</v>
      </c>
    </row>
    <row r="571" spans="1:14" x14ac:dyDescent="0.25">
      <c r="A571" t="s">
        <v>465</v>
      </c>
      <c r="B571" t="s">
        <v>551</v>
      </c>
      <c r="C571" t="s">
        <v>1088</v>
      </c>
      <c r="D571">
        <v>1</v>
      </c>
      <c r="E571">
        <v>1</v>
      </c>
      <c r="F571">
        <v>757</v>
      </c>
      <c r="G571" s="14">
        <v>46021</v>
      </c>
      <c r="H571" s="14">
        <v>46061</v>
      </c>
      <c r="I571">
        <v>41</v>
      </c>
      <c r="J571" s="15">
        <v>1220</v>
      </c>
      <c r="K571" s="16">
        <f t="shared" si="16"/>
        <v>1.6116248348745046</v>
      </c>
      <c r="L571" s="15">
        <v>938</v>
      </c>
      <c r="M571" s="16">
        <f t="shared" si="17"/>
        <v>1.239101717305152</v>
      </c>
      <c r="N571" t="s">
        <v>283</v>
      </c>
    </row>
    <row r="572" spans="1:14" x14ac:dyDescent="0.25">
      <c r="A572" t="s">
        <v>451</v>
      </c>
      <c r="B572" t="s">
        <v>460</v>
      </c>
      <c r="C572" t="s">
        <v>1089</v>
      </c>
      <c r="D572">
        <v>1</v>
      </c>
      <c r="E572">
        <v>1</v>
      </c>
      <c r="F572">
        <v>726</v>
      </c>
      <c r="G572" s="14">
        <v>45973</v>
      </c>
      <c r="H572" s="14">
        <v>46063</v>
      </c>
      <c r="I572">
        <v>91</v>
      </c>
      <c r="J572" s="15">
        <v>1000</v>
      </c>
      <c r="K572" s="16">
        <f t="shared" si="16"/>
        <v>1.3774104683195592</v>
      </c>
      <c r="L572" s="15">
        <v>833</v>
      </c>
      <c r="M572" s="16">
        <f t="shared" si="17"/>
        <v>1.1473829201101928</v>
      </c>
      <c r="N572" t="s">
        <v>283</v>
      </c>
    </row>
    <row r="573" spans="1:14" x14ac:dyDescent="0.25">
      <c r="A573" t="s">
        <v>472</v>
      </c>
      <c r="B573" t="s">
        <v>473</v>
      </c>
      <c r="C573" t="s">
        <v>1090</v>
      </c>
      <c r="D573">
        <v>2</v>
      </c>
      <c r="E573">
        <v>1</v>
      </c>
      <c r="F573">
        <v>800</v>
      </c>
      <c r="G573" s="14">
        <v>46059</v>
      </c>
      <c r="H573" s="14">
        <v>46063</v>
      </c>
      <c r="I573">
        <v>5</v>
      </c>
      <c r="J573" s="15">
        <v>1498</v>
      </c>
      <c r="K573" s="16">
        <f t="shared" si="16"/>
        <v>1.8725000000000001</v>
      </c>
      <c r="L573" s="15">
        <v>1284</v>
      </c>
      <c r="M573" s="16">
        <f t="shared" si="17"/>
        <v>1.605</v>
      </c>
      <c r="N573" t="s">
        <v>283</v>
      </c>
    </row>
    <row r="574" spans="1:14" x14ac:dyDescent="0.25">
      <c r="A574" t="s">
        <v>457</v>
      </c>
      <c r="B574" t="s">
        <v>633</v>
      </c>
      <c r="C574" t="s">
        <v>1091</v>
      </c>
      <c r="D574">
        <v>1</v>
      </c>
      <c r="E574">
        <v>1</v>
      </c>
      <c r="F574">
        <v>541</v>
      </c>
      <c r="G574" s="14">
        <v>45982</v>
      </c>
      <c r="H574" s="14">
        <v>46063</v>
      </c>
      <c r="I574">
        <v>82</v>
      </c>
      <c r="J574" s="15">
        <v>977</v>
      </c>
      <c r="K574" s="16">
        <f t="shared" si="16"/>
        <v>1.8059149722735675</v>
      </c>
      <c r="L574" s="15">
        <v>768</v>
      </c>
      <c r="M574" s="16">
        <f t="shared" si="17"/>
        <v>1.4195933456561922</v>
      </c>
      <c r="N574" t="s">
        <v>283</v>
      </c>
    </row>
    <row r="575" spans="1:14" x14ac:dyDescent="0.25">
      <c r="A575" t="s">
        <v>465</v>
      </c>
      <c r="B575" t="s">
        <v>567</v>
      </c>
      <c r="C575" t="s">
        <v>1092</v>
      </c>
      <c r="D575">
        <v>1</v>
      </c>
      <c r="E575">
        <v>1</v>
      </c>
      <c r="F575">
        <v>757</v>
      </c>
      <c r="G575" s="14">
        <v>45932</v>
      </c>
      <c r="H575" s="14">
        <v>46063</v>
      </c>
      <c r="I575">
        <v>132</v>
      </c>
      <c r="J575" s="15">
        <v>1140</v>
      </c>
      <c r="K575" s="16">
        <f t="shared" si="16"/>
        <v>1.5059445178335535</v>
      </c>
      <c r="L575" s="15">
        <v>896</v>
      </c>
      <c r="M575" s="16">
        <f t="shared" si="17"/>
        <v>1.1836195508586527</v>
      </c>
      <c r="N575" t="s">
        <v>283</v>
      </c>
    </row>
    <row r="576" spans="1:14" x14ac:dyDescent="0.25">
      <c r="A576" t="s">
        <v>454</v>
      </c>
      <c r="B576" t="s">
        <v>455</v>
      </c>
      <c r="C576" t="s">
        <v>1093</v>
      </c>
      <c r="D576">
        <v>2</v>
      </c>
      <c r="E576">
        <v>2</v>
      </c>
      <c r="F576">
        <v>1001</v>
      </c>
      <c r="G576" s="14">
        <v>46007</v>
      </c>
      <c r="H576" s="14">
        <v>46064</v>
      </c>
      <c r="I576">
        <v>58</v>
      </c>
      <c r="J576" s="15">
        <v>1275</v>
      </c>
      <c r="K576" s="16">
        <f t="shared" si="16"/>
        <v>1.2737262737262738</v>
      </c>
      <c r="L576" s="15">
        <v>1275</v>
      </c>
      <c r="M576" s="16">
        <f t="shared" si="17"/>
        <v>1.2737262737262738</v>
      </c>
      <c r="N576" t="s">
        <v>283</v>
      </c>
    </row>
    <row r="577" spans="1:14" x14ac:dyDescent="0.25">
      <c r="A577" t="s">
        <v>454</v>
      </c>
      <c r="B577" t="s">
        <v>938</v>
      </c>
      <c r="C577" t="s">
        <v>1094</v>
      </c>
      <c r="D577">
        <v>3</v>
      </c>
      <c r="E577">
        <v>2</v>
      </c>
      <c r="F577">
        <v>1103</v>
      </c>
      <c r="G577" s="14">
        <v>46021</v>
      </c>
      <c r="H577" s="14">
        <v>46064</v>
      </c>
      <c r="I577">
        <v>44</v>
      </c>
      <c r="J577" s="15">
        <v>1340</v>
      </c>
      <c r="K577" s="16">
        <f t="shared" si="16"/>
        <v>1.214868540344515</v>
      </c>
      <c r="L577" s="15">
        <v>1340</v>
      </c>
      <c r="M577" s="16">
        <f t="shared" si="17"/>
        <v>1.214868540344515</v>
      </c>
      <c r="N577" t="s">
        <v>283</v>
      </c>
    </row>
    <row r="578" spans="1:14" x14ac:dyDescent="0.25">
      <c r="A578" t="s">
        <v>486</v>
      </c>
      <c r="B578" t="s">
        <v>487</v>
      </c>
      <c r="C578" t="s">
        <v>1095</v>
      </c>
      <c r="D578">
        <v>2</v>
      </c>
      <c r="E578">
        <v>2</v>
      </c>
      <c r="F578">
        <v>1000</v>
      </c>
      <c r="G578" s="14">
        <v>45932</v>
      </c>
      <c r="H578" s="14">
        <v>46064</v>
      </c>
      <c r="I578">
        <v>133</v>
      </c>
      <c r="J578" s="15">
        <v>1289</v>
      </c>
      <c r="K578" s="16">
        <f t="shared" ref="K578:K641" si="18">IFERROR(J578/F578,0)</f>
        <v>1.2889999999999999</v>
      </c>
      <c r="L578" s="15">
        <v>967</v>
      </c>
      <c r="M578" s="16">
        <f t="shared" ref="M578:M641" si="19">IFERROR(L578/F578,0)</f>
        <v>0.96699999999999997</v>
      </c>
      <c r="N578" t="s">
        <v>283</v>
      </c>
    </row>
    <row r="579" spans="1:14" x14ac:dyDescent="0.25">
      <c r="A579" t="s">
        <v>457</v>
      </c>
      <c r="B579" t="s">
        <v>1037</v>
      </c>
      <c r="C579" t="s">
        <v>1096</v>
      </c>
      <c r="D579">
        <v>1</v>
      </c>
      <c r="E579">
        <v>1</v>
      </c>
      <c r="F579">
        <v>541</v>
      </c>
      <c r="G579" s="14">
        <v>46025</v>
      </c>
      <c r="H579" s="14">
        <v>46064</v>
      </c>
      <c r="I579">
        <v>40</v>
      </c>
      <c r="J579" s="15">
        <v>1092</v>
      </c>
      <c r="K579" s="16">
        <f t="shared" si="18"/>
        <v>2.0184842883548981</v>
      </c>
      <c r="L579" s="15">
        <v>948</v>
      </c>
      <c r="M579" s="16">
        <f t="shared" si="19"/>
        <v>1.7523105360443623</v>
      </c>
      <c r="N579" t="s">
        <v>283</v>
      </c>
    </row>
    <row r="580" spans="1:14" x14ac:dyDescent="0.25">
      <c r="A580" t="s">
        <v>465</v>
      </c>
      <c r="B580" t="s">
        <v>567</v>
      </c>
      <c r="C580" t="s">
        <v>1097</v>
      </c>
      <c r="D580">
        <v>1</v>
      </c>
      <c r="E580">
        <v>1</v>
      </c>
      <c r="F580">
        <v>757</v>
      </c>
      <c r="G580" s="14">
        <v>45964</v>
      </c>
      <c r="H580" s="14">
        <v>46064</v>
      </c>
      <c r="I580">
        <v>101</v>
      </c>
      <c r="J580" s="15">
        <v>1177</v>
      </c>
      <c r="K580" s="16">
        <f t="shared" si="18"/>
        <v>1.5548216644649935</v>
      </c>
      <c r="L580" s="15">
        <v>925</v>
      </c>
      <c r="M580" s="16">
        <f t="shared" si="19"/>
        <v>1.2219286657859973</v>
      </c>
      <c r="N580" t="s">
        <v>283</v>
      </c>
    </row>
    <row r="581" spans="1:14" x14ac:dyDescent="0.25">
      <c r="A581" t="s">
        <v>451</v>
      </c>
      <c r="B581" t="s">
        <v>468</v>
      </c>
      <c r="C581" t="s">
        <v>1098</v>
      </c>
      <c r="D581">
        <v>2</v>
      </c>
      <c r="E581">
        <v>2</v>
      </c>
      <c r="F581">
        <v>810</v>
      </c>
      <c r="G581" s="14">
        <v>46058</v>
      </c>
      <c r="H581" s="14">
        <v>46065</v>
      </c>
      <c r="I581">
        <v>8</v>
      </c>
      <c r="J581" s="15">
        <v>1300</v>
      </c>
      <c r="K581" s="16">
        <f t="shared" si="18"/>
        <v>1.6049382716049383</v>
      </c>
      <c r="L581" s="15">
        <v>1300</v>
      </c>
      <c r="M581" s="16">
        <f t="shared" si="19"/>
        <v>1.6049382716049383</v>
      </c>
      <c r="N581" t="s">
        <v>283</v>
      </c>
    </row>
    <row r="582" spans="1:14" x14ac:dyDescent="0.25">
      <c r="A582" t="s">
        <v>451</v>
      </c>
      <c r="B582" t="s">
        <v>460</v>
      </c>
      <c r="C582" t="s">
        <v>1099</v>
      </c>
      <c r="D582">
        <v>1</v>
      </c>
      <c r="E582">
        <v>1</v>
      </c>
      <c r="F582">
        <v>726</v>
      </c>
      <c r="G582" s="14">
        <v>46055</v>
      </c>
      <c r="H582" s="14">
        <v>46066</v>
      </c>
      <c r="I582">
        <v>12</v>
      </c>
      <c r="J582" s="15">
        <v>1100</v>
      </c>
      <c r="K582" s="16">
        <f t="shared" si="18"/>
        <v>1.5151515151515151</v>
      </c>
      <c r="L582" s="15">
        <v>1100</v>
      </c>
      <c r="M582" s="16">
        <f t="shared" si="19"/>
        <v>1.5151515151515151</v>
      </c>
      <c r="N582" t="s">
        <v>283</v>
      </c>
    </row>
    <row r="583" spans="1:14" x14ac:dyDescent="0.25">
      <c r="A583" t="s">
        <v>477</v>
      </c>
      <c r="B583" t="s">
        <v>609</v>
      </c>
      <c r="C583" t="s">
        <v>1100</v>
      </c>
      <c r="D583">
        <v>2</v>
      </c>
      <c r="E583">
        <v>2</v>
      </c>
      <c r="F583">
        <v>1050</v>
      </c>
      <c r="G583" s="14">
        <v>45883</v>
      </c>
      <c r="H583" s="14">
        <v>46066</v>
      </c>
      <c r="I583">
        <v>184</v>
      </c>
      <c r="J583" s="15">
        <v>1217</v>
      </c>
      <c r="K583" s="16">
        <f t="shared" si="18"/>
        <v>1.1590476190476191</v>
      </c>
      <c r="L583" s="15">
        <v>1217</v>
      </c>
      <c r="M583" s="16">
        <f t="shared" si="19"/>
        <v>1.1590476190476191</v>
      </c>
      <c r="N583" t="s">
        <v>283</v>
      </c>
    </row>
    <row r="584" spans="1:14" x14ac:dyDescent="0.25">
      <c r="A584" t="s">
        <v>462</v>
      </c>
      <c r="B584" t="s">
        <v>530</v>
      </c>
      <c r="C584" t="s">
        <v>1046</v>
      </c>
      <c r="D584">
        <v>1</v>
      </c>
      <c r="E584">
        <v>1</v>
      </c>
      <c r="F584">
        <v>602</v>
      </c>
      <c r="G584" s="14">
        <v>45647</v>
      </c>
      <c r="H584" s="14">
        <v>46066</v>
      </c>
      <c r="I584">
        <v>420</v>
      </c>
      <c r="J584" s="15">
        <v>1425</v>
      </c>
      <c r="K584" s="16">
        <f t="shared" si="18"/>
        <v>2.367109634551495</v>
      </c>
      <c r="L584" s="15">
        <v>1069</v>
      </c>
      <c r="M584" s="16">
        <f t="shared" si="19"/>
        <v>1.7757475083056478</v>
      </c>
      <c r="N584" t="s">
        <v>283</v>
      </c>
    </row>
    <row r="585" spans="1:14" x14ac:dyDescent="0.25">
      <c r="A585" t="s">
        <v>465</v>
      </c>
      <c r="B585" t="s">
        <v>984</v>
      </c>
      <c r="C585" t="s">
        <v>1101</v>
      </c>
      <c r="D585">
        <v>1</v>
      </c>
      <c r="E585">
        <v>1</v>
      </c>
      <c r="F585">
        <v>532</v>
      </c>
      <c r="G585" s="14">
        <v>45919</v>
      </c>
      <c r="H585" s="14">
        <v>46066</v>
      </c>
      <c r="I585">
        <v>148</v>
      </c>
      <c r="J585" s="15">
        <v>1107</v>
      </c>
      <c r="K585" s="16">
        <f t="shared" si="18"/>
        <v>2.0808270676691731</v>
      </c>
      <c r="L585" s="15">
        <v>961</v>
      </c>
      <c r="M585" s="16">
        <f t="shared" si="19"/>
        <v>1.8063909774436091</v>
      </c>
      <c r="N585" t="s">
        <v>283</v>
      </c>
    </row>
    <row r="586" spans="1:14" x14ac:dyDescent="0.25">
      <c r="A586" t="s">
        <v>465</v>
      </c>
      <c r="B586" t="s">
        <v>597</v>
      </c>
      <c r="C586" t="s">
        <v>1102</v>
      </c>
      <c r="D586">
        <v>2</v>
      </c>
      <c r="E586">
        <v>2</v>
      </c>
      <c r="F586">
        <v>1081</v>
      </c>
      <c r="G586" s="14">
        <v>46005</v>
      </c>
      <c r="H586" s="14">
        <v>46066</v>
      </c>
      <c r="I586">
        <v>62</v>
      </c>
      <c r="J586" s="15">
        <v>1477</v>
      </c>
      <c r="K586" s="16">
        <f t="shared" si="18"/>
        <v>1.366327474560592</v>
      </c>
      <c r="L586" s="15">
        <v>1282</v>
      </c>
      <c r="M586" s="16">
        <f t="shared" si="19"/>
        <v>1.1859389454209066</v>
      </c>
      <c r="N586" t="s">
        <v>283</v>
      </c>
    </row>
    <row r="587" spans="1:14" x14ac:dyDescent="0.25">
      <c r="A587" t="s">
        <v>486</v>
      </c>
      <c r="B587" t="s">
        <v>487</v>
      </c>
      <c r="C587" t="s">
        <v>1103</v>
      </c>
      <c r="D587">
        <v>2</v>
      </c>
      <c r="E587">
        <v>2</v>
      </c>
      <c r="F587">
        <v>1000</v>
      </c>
      <c r="G587" s="14">
        <v>45926</v>
      </c>
      <c r="H587" s="14">
        <v>46068</v>
      </c>
      <c r="I587">
        <v>143</v>
      </c>
      <c r="J587" s="15">
        <v>1274</v>
      </c>
      <c r="K587" s="16">
        <f t="shared" si="18"/>
        <v>1.274</v>
      </c>
      <c r="L587" s="15">
        <v>1078</v>
      </c>
      <c r="M587" s="16">
        <f t="shared" si="19"/>
        <v>1.0780000000000001</v>
      </c>
      <c r="N587" t="s">
        <v>283</v>
      </c>
    </row>
    <row r="588" spans="1:14" x14ac:dyDescent="0.25">
      <c r="A588" t="s">
        <v>465</v>
      </c>
      <c r="B588" t="s">
        <v>466</v>
      </c>
      <c r="C588" t="s">
        <v>1104</v>
      </c>
      <c r="D588">
        <v>1</v>
      </c>
      <c r="E588">
        <v>1</v>
      </c>
      <c r="F588">
        <v>757</v>
      </c>
      <c r="G588" s="14">
        <v>46025</v>
      </c>
      <c r="H588" s="14">
        <v>46068</v>
      </c>
      <c r="I588">
        <v>44</v>
      </c>
      <c r="J588" s="15">
        <v>1152</v>
      </c>
      <c r="K588" s="16">
        <f t="shared" si="18"/>
        <v>1.5217965653896961</v>
      </c>
      <c r="L588" s="15">
        <v>1000</v>
      </c>
      <c r="M588" s="16">
        <f t="shared" si="19"/>
        <v>1.321003963011889</v>
      </c>
      <c r="N588" t="s">
        <v>283</v>
      </c>
    </row>
    <row r="589" spans="1:14" x14ac:dyDescent="0.25">
      <c r="A589" t="s">
        <v>477</v>
      </c>
      <c r="B589" t="s">
        <v>609</v>
      </c>
      <c r="C589" t="s">
        <v>1105</v>
      </c>
      <c r="D589">
        <v>2</v>
      </c>
      <c r="E589">
        <v>2</v>
      </c>
      <c r="F589">
        <v>1050</v>
      </c>
      <c r="G589" s="14">
        <v>45963</v>
      </c>
      <c r="H589" s="14">
        <v>46069</v>
      </c>
      <c r="I589">
        <v>107</v>
      </c>
      <c r="J589" s="15">
        <v>1217</v>
      </c>
      <c r="K589" s="16">
        <f t="shared" si="18"/>
        <v>1.1590476190476191</v>
      </c>
      <c r="L589" s="15">
        <v>1217</v>
      </c>
      <c r="M589" s="16">
        <f t="shared" si="19"/>
        <v>1.1590476190476191</v>
      </c>
      <c r="N589" t="s">
        <v>283</v>
      </c>
    </row>
    <row r="590" spans="1:14" x14ac:dyDescent="0.25">
      <c r="A590" t="s">
        <v>451</v>
      </c>
      <c r="B590" t="s">
        <v>468</v>
      </c>
      <c r="C590" t="s">
        <v>1106</v>
      </c>
      <c r="D590">
        <v>2</v>
      </c>
      <c r="E590">
        <v>2</v>
      </c>
      <c r="F590">
        <v>810</v>
      </c>
      <c r="G590" s="14">
        <v>46030</v>
      </c>
      <c r="H590" s="14">
        <v>46070</v>
      </c>
      <c r="I590">
        <v>41</v>
      </c>
      <c r="J590" s="15">
        <v>1300</v>
      </c>
      <c r="K590" s="16">
        <f t="shared" si="18"/>
        <v>1.6049382716049383</v>
      </c>
      <c r="L590" s="15">
        <v>1300</v>
      </c>
      <c r="M590" s="16">
        <f t="shared" si="19"/>
        <v>1.6049382716049383</v>
      </c>
      <c r="N590" t="s">
        <v>283</v>
      </c>
    </row>
    <row r="591" spans="1:14" x14ac:dyDescent="0.25">
      <c r="A591" t="s">
        <v>462</v>
      </c>
      <c r="B591" t="s">
        <v>530</v>
      </c>
      <c r="C591" t="s">
        <v>745</v>
      </c>
      <c r="D591">
        <v>1</v>
      </c>
      <c r="E591">
        <v>1</v>
      </c>
      <c r="F591">
        <v>602</v>
      </c>
      <c r="G591" s="14">
        <v>45934</v>
      </c>
      <c r="H591" s="14">
        <v>46070</v>
      </c>
      <c r="I591">
        <v>137</v>
      </c>
      <c r="J591" s="15">
        <v>1425</v>
      </c>
      <c r="K591" s="16">
        <f t="shared" si="18"/>
        <v>2.367109634551495</v>
      </c>
      <c r="L591" s="15">
        <v>1069</v>
      </c>
      <c r="M591" s="16">
        <f t="shared" si="19"/>
        <v>1.7757475083056478</v>
      </c>
      <c r="N591" t="s">
        <v>283</v>
      </c>
    </row>
    <row r="592" spans="1:14" x14ac:dyDescent="0.25">
      <c r="A592" t="s">
        <v>462</v>
      </c>
      <c r="B592" t="s">
        <v>470</v>
      </c>
      <c r="C592" t="s">
        <v>1107</v>
      </c>
      <c r="D592">
        <v>1</v>
      </c>
      <c r="E592">
        <v>1</v>
      </c>
      <c r="F592">
        <v>732</v>
      </c>
      <c r="G592" s="14">
        <v>45938</v>
      </c>
      <c r="H592" s="14">
        <v>46070</v>
      </c>
      <c r="I592">
        <v>133</v>
      </c>
      <c r="J592" s="15">
        <v>1425</v>
      </c>
      <c r="K592" s="16">
        <f t="shared" si="18"/>
        <v>1.9467213114754098</v>
      </c>
      <c r="L592" s="15">
        <v>1069</v>
      </c>
      <c r="M592" s="16">
        <f t="shared" si="19"/>
        <v>1.4603825136612021</v>
      </c>
      <c r="N592" t="s">
        <v>283</v>
      </c>
    </row>
    <row r="593" spans="1:14" x14ac:dyDescent="0.25">
      <c r="A593" t="s">
        <v>462</v>
      </c>
      <c r="B593" t="s">
        <v>470</v>
      </c>
      <c r="C593" t="s">
        <v>1108</v>
      </c>
      <c r="D593">
        <v>1</v>
      </c>
      <c r="E593">
        <v>1</v>
      </c>
      <c r="F593">
        <v>732</v>
      </c>
      <c r="G593" s="14">
        <v>46056</v>
      </c>
      <c r="H593" s="14">
        <v>46070</v>
      </c>
      <c r="I593">
        <v>15</v>
      </c>
      <c r="J593" s="15">
        <v>1500</v>
      </c>
      <c r="K593" s="16">
        <f t="shared" si="18"/>
        <v>2.0491803278688523</v>
      </c>
      <c r="L593" s="15">
        <v>1125</v>
      </c>
      <c r="M593" s="16">
        <f t="shared" si="19"/>
        <v>1.5368852459016393</v>
      </c>
      <c r="N593" t="s">
        <v>283</v>
      </c>
    </row>
    <row r="594" spans="1:14" x14ac:dyDescent="0.25">
      <c r="A594" t="s">
        <v>462</v>
      </c>
      <c r="B594" t="s">
        <v>470</v>
      </c>
      <c r="C594" t="s">
        <v>1109</v>
      </c>
      <c r="D594">
        <v>1</v>
      </c>
      <c r="E594">
        <v>1</v>
      </c>
      <c r="F594">
        <v>732</v>
      </c>
      <c r="G594" s="14">
        <v>45729</v>
      </c>
      <c r="H594" s="14">
        <v>46070</v>
      </c>
      <c r="I594">
        <v>342</v>
      </c>
      <c r="J594" s="15">
        <v>1500</v>
      </c>
      <c r="K594" s="16">
        <f t="shared" si="18"/>
        <v>2.0491803278688523</v>
      </c>
      <c r="L594" s="15">
        <v>1125</v>
      </c>
      <c r="M594" s="16">
        <f t="shared" si="19"/>
        <v>1.5368852459016393</v>
      </c>
      <c r="N594" t="s">
        <v>283</v>
      </c>
    </row>
    <row r="595" spans="1:14" x14ac:dyDescent="0.25">
      <c r="A595" t="s">
        <v>462</v>
      </c>
      <c r="B595" t="s">
        <v>507</v>
      </c>
      <c r="C595" t="s">
        <v>469</v>
      </c>
      <c r="D595">
        <v>3</v>
      </c>
      <c r="E595">
        <v>2</v>
      </c>
      <c r="F595">
        <v>1345</v>
      </c>
      <c r="G595" s="14">
        <v>45930</v>
      </c>
      <c r="H595" s="14">
        <v>46070</v>
      </c>
      <c r="I595">
        <v>141</v>
      </c>
      <c r="J595" s="15">
        <v>2200</v>
      </c>
      <c r="K595" s="16">
        <f t="shared" si="18"/>
        <v>1.6356877323420074</v>
      </c>
      <c r="L595" s="15">
        <v>1650</v>
      </c>
      <c r="M595" s="16">
        <f t="shared" si="19"/>
        <v>1.2267657992565055</v>
      </c>
      <c r="N595" t="s">
        <v>283</v>
      </c>
    </row>
    <row r="596" spans="1:14" x14ac:dyDescent="0.25">
      <c r="A596" t="s">
        <v>454</v>
      </c>
      <c r="B596" t="s">
        <v>494</v>
      </c>
      <c r="C596" t="s">
        <v>1110</v>
      </c>
      <c r="D596">
        <v>2</v>
      </c>
      <c r="E596">
        <v>2</v>
      </c>
      <c r="F596">
        <v>1001</v>
      </c>
      <c r="G596" s="14">
        <v>46007</v>
      </c>
      <c r="H596" s="14">
        <v>46070</v>
      </c>
      <c r="I596">
        <v>64</v>
      </c>
      <c r="J596" s="15">
        <v>1450</v>
      </c>
      <c r="K596" s="16">
        <f t="shared" si="18"/>
        <v>1.4485514485514486</v>
      </c>
      <c r="L596" s="15">
        <v>1450</v>
      </c>
      <c r="M596" s="16">
        <f t="shared" si="19"/>
        <v>1.4485514485514486</v>
      </c>
      <c r="N596" t="s">
        <v>283</v>
      </c>
    </row>
    <row r="597" spans="1:14" x14ac:dyDescent="0.25">
      <c r="A597" t="s">
        <v>472</v>
      </c>
      <c r="B597" t="s">
        <v>473</v>
      </c>
      <c r="C597" t="s">
        <v>1111</v>
      </c>
      <c r="D597">
        <v>2</v>
      </c>
      <c r="E597">
        <v>1</v>
      </c>
      <c r="F597">
        <v>800</v>
      </c>
      <c r="G597" s="14">
        <v>45862</v>
      </c>
      <c r="H597" s="14">
        <v>46070</v>
      </c>
      <c r="I597">
        <v>209</v>
      </c>
      <c r="J597" s="15">
        <v>1248</v>
      </c>
      <c r="K597" s="16">
        <f t="shared" si="18"/>
        <v>1.56</v>
      </c>
      <c r="L597" s="15">
        <v>1070</v>
      </c>
      <c r="M597" s="16">
        <f t="shared" si="19"/>
        <v>1.3374999999999999</v>
      </c>
      <c r="N597" t="s">
        <v>283</v>
      </c>
    </row>
    <row r="598" spans="1:14" x14ac:dyDescent="0.25">
      <c r="A598" t="s">
        <v>477</v>
      </c>
      <c r="B598" t="s">
        <v>609</v>
      </c>
      <c r="C598" t="s">
        <v>1112</v>
      </c>
      <c r="D598">
        <v>2</v>
      </c>
      <c r="E598">
        <v>2</v>
      </c>
      <c r="F598">
        <v>1050</v>
      </c>
      <c r="G598" s="14">
        <v>45867</v>
      </c>
      <c r="H598" s="14">
        <v>46071</v>
      </c>
      <c r="I598">
        <v>205</v>
      </c>
      <c r="J598" s="15">
        <v>1217</v>
      </c>
      <c r="K598" s="16">
        <f t="shared" si="18"/>
        <v>1.1590476190476191</v>
      </c>
      <c r="L598" s="15">
        <v>1217</v>
      </c>
      <c r="M598" s="16">
        <f t="shared" si="19"/>
        <v>1.1590476190476191</v>
      </c>
      <c r="N598" t="s">
        <v>283</v>
      </c>
    </row>
    <row r="599" spans="1:14" x14ac:dyDescent="0.25">
      <c r="A599" t="s">
        <v>472</v>
      </c>
      <c r="B599" t="s">
        <v>496</v>
      </c>
      <c r="C599" t="s">
        <v>1113</v>
      </c>
      <c r="D599">
        <v>1</v>
      </c>
      <c r="E599">
        <v>1</v>
      </c>
      <c r="F599">
        <v>625</v>
      </c>
      <c r="G599" s="14">
        <v>45940</v>
      </c>
      <c r="H599" s="14">
        <v>46071</v>
      </c>
      <c r="I599">
        <v>132</v>
      </c>
      <c r="J599" s="15">
        <v>1198</v>
      </c>
      <c r="K599" s="16">
        <f t="shared" si="18"/>
        <v>1.9168000000000001</v>
      </c>
      <c r="L599" s="15">
        <v>1027</v>
      </c>
      <c r="M599" s="16">
        <f t="shared" si="19"/>
        <v>1.6432</v>
      </c>
      <c r="N599" t="s">
        <v>283</v>
      </c>
    </row>
    <row r="600" spans="1:14" x14ac:dyDescent="0.25">
      <c r="A600" t="s">
        <v>457</v>
      </c>
      <c r="B600" t="s">
        <v>1037</v>
      </c>
      <c r="C600" t="s">
        <v>1114</v>
      </c>
      <c r="D600">
        <v>1</v>
      </c>
      <c r="E600">
        <v>1</v>
      </c>
      <c r="F600">
        <v>541</v>
      </c>
      <c r="G600" s="14">
        <v>46011</v>
      </c>
      <c r="H600" s="14">
        <v>46071</v>
      </c>
      <c r="I600">
        <v>61</v>
      </c>
      <c r="J600" s="15">
        <v>1100</v>
      </c>
      <c r="K600" s="16">
        <f t="shared" si="18"/>
        <v>2.033271719038817</v>
      </c>
      <c r="L600" s="15">
        <v>915</v>
      </c>
      <c r="M600" s="16">
        <f t="shared" si="19"/>
        <v>1.6913123844731979</v>
      </c>
      <c r="N600" t="s">
        <v>283</v>
      </c>
    </row>
    <row r="601" spans="1:14" x14ac:dyDescent="0.25">
      <c r="A601" t="s">
        <v>451</v>
      </c>
      <c r="B601" t="s">
        <v>460</v>
      </c>
      <c r="C601" t="s">
        <v>1115</v>
      </c>
      <c r="D601">
        <v>1</v>
      </c>
      <c r="E601">
        <v>1</v>
      </c>
      <c r="F601">
        <v>726</v>
      </c>
      <c r="G601" s="14">
        <v>45876</v>
      </c>
      <c r="H601" s="14">
        <v>46072</v>
      </c>
      <c r="I601">
        <v>197</v>
      </c>
      <c r="J601" s="15">
        <v>1100</v>
      </c>
      <c r="K601" s="16">
        <f t="shared" si="18"/>
        <v>1.5151515151515151</v>
      </c>
      <c r="L601" s="15">
        <v>1100</v>
      </c>
      <c r="M601" s="16">
        <f t="shared" si="19"/>
        <v>1.5151515151515151</v>
      </c>
      <c r="N601" t="s">
        <v>283</v>
      </c>
    </row>
    <row r="602" spans="1:14" x14ac:dyDescent="0.25">
      <c r="A602" t="s">
        <v>451</v>
      </c>
      <c r="B602" t="s">
        <v>460</v>
      </c>
      <c r="C602" t="s">
        <v>1116</v>
      </c>
      <c r="D602">
        <v>1</v>
      </c>
      <c r="E602">
        <v>1</v>
      </c>
      <c r="F602">
        <v>726</v>
      </c>
      <c r="G602" s="14">
        <v>46067</v>
      </c>
      <c r="H602" s="14">
        <v>46072</v>
      </c>
      <c r="I602">
        <v>6</v>
      </c>
      <c r="J602" s="15">
        <v>1100</v>
      </c>
      <c r="K602" s="16">
        <f t="shared" si="18"/>
        <v>1.5151515151515151</v>
      </c>
      <c r="L602" s="15">
        <v>1100</v>
      </c>
      <c r="M602" s="16">
        <f t="shared" si="19"/>
        <v>1.5151515151515151</v>
      </c>
      <c r="N602" t="s">
        <v>283</v>
      </c>
    </row>
    <row r="603" spans="1:14" x14ac:dyDescent="0.25">
      <c r="A603" t="s">
        <v>486</v>
      </c>
      <c r="B603" t="s">
        <v>487</v>
      </c>
      <c r="C603" t="s">
        <v>1117</v>
      </c>
      <c r="D603">
        <v>2</v>
      </c>
      <c r="E603">
        <v>2</v>
      </c>
      <c r="F603">
        <v>1000</v>
      </c>
      <c r="G603" s="14">
        <v>46008</v>
      </c>
      <c r="H603" s="14">
        <v>46072</v>
      </c>
      <c r="I603">
        <v>65</v>
      </c>
      <c r="J603" s="15">
        <v>1274</v>
      </c>
      <c r="K603" s="16">
        <f t="shared" si="18"/>
        <v>1.274</v>
      </c>
      <c r="L603" s="15">
        <v>1078</v>
      </c>
      <c r="M603" s="16">
        <f t="shared" si="19"/>
        <v>1.0780000000000001</v>
      </c>
      <c r="N603" t="s">
        <v>283</v>
      </c>
    </row>
    <row r="604" spans="1:14" x14ac:dyDescent="0.25">
      <c r="A604" t="s">
        <v>477</v>
      </c>
      <c r="B604" t="s">
        <v>478</v>
      </c>
      <c r="C604" t="s">
        <v>1118</v>
      </c>
      <c r="D604">
        <v>1</v>
      </c>
      <c r="E604">
        <v>1</v>
      </c>
      <c r="F604">
        <v>771</v>
      </c>
      <c r="G604" s="14">
        <v>46036</v>
      </c>
      <c r="H604" s="14">
        <v>46073</v>
      </c>
      <c r="I604">
        <v>38</v>
      </c>
      <c r="J604" s="15">
        <v>1031</v>
      </c>
      <c r="K604" s="16">
        <f t="shared" si="18"/>
        <v>1.3372243839169908</v>
      </c>
      <c r="L604" s="15">
        <v>1031</v>
      </c>
      <c r="M604" s="16">
        <f t="shared" si="19"/>
        <v>1.3372243839169908</v>
      </c>
      <c r="N604" t="s">
        <v>283</v>
      </c>
    </row>
    <row r="605" spans="1:14" x14ac:dyDescent="0.25">
      <c r="A605" t="s">
        <v>477</v>
      </c>
      <c r="B605" t="s">
        <v>609</v>
      </c>
      <c r="C605" t="s">
        <v>1119</v>
      </c>
      <c r="D605">
        <v>2</v>
      </c>
      <c r="E605">
        <v>2</v>
      </c>
      <c r="F605">
        <v>1050</v>
      </c>
      <c r="G605" s="14">
        <v>46065</v>
      </c>
      <c r="H605" s="14">
        <v>46073</v>
      </c>
      <c r="I605">
        <v>9</v>
      </c>
      <c r="J605" s="15">
        <v>1217</v>
      </c>
      <c r="K605" s="16">
        <f t="shared" si="18"/>
        <v>1.1590476190476191</v>
      </c>
      <c r="L605" s="15">
        <v>1217</v>
      </c>
      <c r="M605" s="16">
        <f t="shared" si="19"/>
        <v>1.1590476190476191</v>
      </c>
      <c r="N605" t="s">
        <v>283</v>
      </c>
    </row>
    <row r="606" spans="1:14" x14ac:dyDescent="0.25">
      <c r="A606" t="s">
        <v>454</v>
      </c>
      <c r="B606" t="s">
        <v>906</v>
      </c>
      <c r="C606" t="s">
        <v>1120</v>
      </c>
      <c r="D606">
        <v>3</v>
      </c>
      <c r="E606">
        <v>2</v>
      </c>
      <c r="F606">
        <v>1103</v>
      </c>
      <c r="G606" s="14">
        <v>46007</v>
      </c>
      <c r="H606" s="14">
        <v>46073</v>
      </c>
      <c r="I606">
        <v>67</v>
      </c>
      <c r="J606" s="15">
        <v>1415</v>
      </c>
      <c r="K606" s="16">
        <f t="shared" si="18"/>
        <v>1.2828649138712602</v>
      </c>
      <c r="L606" s="15">
        <v>1415</v>
      </c>
      <c r="M606" s="16">
        <f t="shared" si="19"/>
        <v>1.2828649138712602</v>
      </c>
      <c r="N606" t="s">
        <v>283</v>
      </c>
    </row>
    <row r="607" spans="1:14" x14ac:dyDescent="0.25">
      <c r="A607" t="s">
        <v>486</v>
      </c>
      <c r="B607" t="s">
        <v>521</v>
      </c>
      <c r="C607" t="s">
        <v>1121</v>
      </c>
      <c r="D607">
        <v>2</v>
      </c>
      <c r="E607">
        <v>2</v>
      </c>
      <c r="F607">
        <v>1000</v>
      </c>
      <c r="G607" s="14">
        <v>45971</v>
      </c>
      <c r="H607" s="14">
        <v>46074</v>
      </c>
      <c r="I607">
        <v>104</v>
      </c>
      <c r="J607" s="15">
        <v>1466</v>
      </c>
      <c r="K607" s="16">
        <f t="shared" si="18"/>
        <v>1.466</v>
      </c>
      <c r="L607" s="15">
        <v>1128</v>
      </c>
      <c r="M607" s="16">
        <f t="shared" si="19"/>
        <v>1.1279999999999999</v>
      </c>
      <c r="N607" t="s">
        <v>283</v>
      </c>
    </row>
    <row r="608" spans="1:14" x14ac:dyDescent="0.25">
      <c r="A608" t="s">
        <v>465</v>
      </c>
      <c r="B608" t="s">
        <v>822</v>
      </c>
      <c r="C608" t="s">
        <v>1122</v>
      </c>
      <c r="D608">
        <v>2</v>
      </c>
      <c r="E608">
        <v>1</v>
      </c>
      <c r="F608">
        <v>912</v>
      </c>
      <c r="G608" s="14">
        <v>46046</v>
      </c>
      <c r="H608" s="14">
        <v>46075</v>
      </c>
      <c r="I608">
        <v>30</v>
      </c>
      <c r="J608" s="15">
        <v>1303</v>
      </c>
      <c r="K608" s="16">
        <f t="shared" si="18"/>
        <v>1.4287280701754386</v>
      </c>
      <c r="L608" s="15">
        <v>1131</v>
      </c>
      <c r="M608" s="16">
        <f t="shared" si="19"/>
        <v>1.2401315789473684</v>
      </c>
      <c r="N608" t="s">
        <v>283</v>
      </c>
    </row>
    <row r="609" spans="1:14" x14ac:dyDescent="0.25">
      <c r="A609" t="s">
        <v>451</v>
      </c>
      <c r="B609" t="s">
        <v>533</v>
      </c>
      <c r="C609" t="s">
        <v>1123</v>
      </c>
      <c r="D609">
        <v>1</v>
      </c>
      <c r="E609">
        <v>1</v>
      </c>
      <c r="F609">
        <v>600</v>
      </c>
      <c r="G609" s="14">
        <v>45869</v>
      </c>
      <c r="H609" s="14">
        <v>46076</v>
      </c>
      <c r="I609">
        <v>208</v>
      </c>
      <c r="J609" s="15">
        <v>1100</v>
      </c>
      <c r="K609" s="16">
        <f t="shared" si="18"/>
        <v>1.8333333333333333</v>
      </c>
      <c r="L609" s="15">
        <v>1100</v>
      </c>
      <c r="M609" s="16">
        <f t="shared" si="19"/>
        <v>1.8333333333333333</v>
      </c>
      <c r="N609" t="s">
        <v>283</v>
      </c>
    </row>
    <row r="610" spans="1:14" x14ac:dyDescent="0.25">
      <c r="A610" t="s">
        <v>451</v>
      </c>
      <c r="B610" t="s">
        <v>533</v>
      </c>
      <c r="C610" t="s">
        <v>1124</v>
      </c>
      <c r="D610">
        <v>1</v>
      </c>
      <c r="E610">
        <v>1</v>
      </c>
      <c r="F610">
        <v>600</v>
      </c>
      <c r="G610" s="14">
        <v>46067</v>
      </c>
      <c r="H610" s="14">
        <v>46076</v>
      </c>
      <c r="I610">
        <v>10</v>
      </c>
      <c r="J610" s="15">
        <v>1100</v>
      </c>
      <c r="K610" s="16">
        <f t="shared" si="18"/>
        <v>1.8333333333333333</v>
      </c>
      <c r="L610" s="15">
        <v>1100</v>
      </c>
      <c r="M610" s="16">
        <f t="shared" si="19"/>
        <v>1.8333333333333333</v>
      </c>
      <c r="N610" t="s">
        <v>283</v>
      </c>
    </row>
    <row r="611" spans="1:14" x14ac:dyDescent="0.25">
      <c r="A611" t="s">
        <v>451</v>
      </c>
      <c r="B611" t="s">
        <v>533</v>
      </c>
      <c r="C611" t="s">
        <v>1125</v>
      </c>
      <c r="D611">
        <v>1</v>
      </c>
      <c r="E611">
        <v>1</v>
      </c>
      <c r="F611">
        <v>600</v>
      </c>
      <c r="G611" s="14">
        <v>45923</v>
      </c>
      <c r="H611" s="14">
        <v>46076</v>
      </c>
      <c r="I611">
        <v>154</v>
      </c>
      <c r="J611" s="15">
        <v>1100</v>
      </c>
      <c r="K611" s="16">
        <f t="shared" si="18"/>
        <v>1.8333333333333333</v>
      </c>
      <c r="L611" s="15">
        <v>1100</v>
      </c>
      <c r="M611" s="16">
        <f t="shared" si="19"/>
        <v>1.8333333333333333</v>
      </c>
      <c r="N611" t="s">
        <v>283</v>
      </c>
    </row>
    <row r="612" spans="1:14" x14ac:dyDescent="0.25">
      <c r="A612" t="s">
        <v>451</v>
      </c>
      <c r="B612" t="s">
        <v>533</v>
      </c>
      <c r="C612" t="s">
        <v>1126</v>
      </c>
      <c r="D612">
        <v>1</v>
      </c>
      <c r="E612">
        <v>1</v>
      </c>
      <c r="F612">
        <v>600</v>
      </c>
      <c r="G612" s="14">
        <v>46067</v>
      </c>
      <c r="H612" s="14">
        <v>46076</v>
      </c>
      <c r="I612">
        <v>10</v>
      </c>
      <c r="J612" s="15">
        <v>1100</v>
      </c>
      <c r="K612" s="16">
        <f t="shared" si="18"/>
        <v>1.8333333333333333</v>
      </c>
      <c r="L612" s="15">
        <v>1100</v>
      </c>
      <c r="M612" s="16">
        <f t="shared" si="19"/>
        <v>1.8333333333333333</v>
      </c>
      <c r="N612" t="s">
        <v>283</v>
      </c>
    </row>
    <row r="613" spans="1:14" x14ac:dyDescent="0.25">
      <c r="A613" t="s">
        <v>451</v>
      </c>
      <c r="B613" t="s">
        <v>533</v>
      </c>
      <c r="C613" t="s">
        <v>1127</v>
      </c>
      <c r="D613">
        <v>1</v>
      </c>
      <c r="E613">
        <v>1</v>
      </c>
      <c r="F613">
        <v>600</v>
      </c>
      <c r="G613" s="14">
        <v>46067</v>
      </c>
      <c r="H613" s="14">
        <v>46076</v>
      </c>
      <c r="I613">
        <v>10</v>
      </c>
      <c r="J613" s="15">
        <v>1100</v>
      </c>
      <c r="K613" s="16">
        <f t="shared" si="18"/>
        <v>1.8333333333333333</v>
      </c>
      <c r="L613" s="15">
        <v>1100</v>
      </c>
      <c r="M613" s="16">
        <f t="shared" si="19"/>
        <v>1.8333333333333333</v>
      </c>
      <c r="N613" t="s">
        <v>283</v>
      </c>
    </row>
    <row r="614" spans="1:14" x14ac:dyDescent="0.25">
      <c r="A614" t="s">
        <v>451</v>
      </c>
      <c r="B614" t="s">
        <v>725</v>
      </c>
      <c r="C614" t="s">
        <v>1128</v>
      </c>
      <c r="D614">
        <v>1</v>
      </c>
      <c r="E614">
        <v>1</v>
      </c>
      <c r="F614">
        <v>615</v>
      </c>
      <c r="G614" s="14">
        <v>46067</v>
      </c>
      <c r="H614" s="14">
        <v>46076</v>
      </c>
      <c r="I614">
        <v>10</v>
      </c>
      <c r="J614" s="15">
        <v>1100</v>
      </c>
      <c r="K614" s="16">
        <f t="shared" si="18"/>
        <v>1.7886178861788617</v>
      </c>
      <c r="L614" s="15">
        <v>1100</v>
      </c>
      <c r="M614" s="16">
        <f t="shared" si="19"/>
        <v>1.7886178861788617</v>
      </c>
      <c r="N614" t="s">
        <v>283</v>
      </c>
    </row>
    <row r="615" spans="1:14" x14ac:dyDescent="0.25">
      <c r="A615" t="s">
        <v>451</v>
      </c>
      <c r="B615" t="s">
        <v>468</v>
      </c>
      <c r="C615" t="s">
        <v>1129</v>
      </c>
      <c r="D615">
        <v>2</v>
      </c>
      <c r="E615">
        <v>2</v>
      </c>
      <c r="F615">
        <v>810</v>
      </c>
      <c r="G615" s="14">
        <v>45911</v>
      </c>
      <c r="H615" s="14">
        <v>46076</v>
      </c>
      <c r="I615">
        <v>166</v>
      </c>
      <c r="J615" s="15">
        <v>1300</v>
      </c>
      <c r="K615" s="16">
        <f t="shared" si="18"/>
        <v>1.6049382716049383</v>
      </c>
      <c r="L615" s="15">
        <v>1300</v>
      </c>
      <c r="M615" s="16">
        <f t="shared" si="19"/>
        <v>1.6049382716049383</v>
      </c>
      <c r="N615" t="s">
        <v>283</v>
      </c>
    </row>
    <row r="616" spans="1:14" x14ac:dyDescent="0.25">
      <c r="A616" t="s">
        <v>451</v>
      </c>
      <c r="B616" t="s">
        <v>452</v>
      </c>
      <c r="C616" t="s">
        <v>1130</v>
      </c>
      <c r="D616">
        <v>2</v>
      </c>
      <c r="E616">
        <v>2</v>
      </c>
      <c r="F616">
        <v>903</v>
      </c>
      <c r="G616" s="14">
        <v>46067</v>
      </c>
      <c r="H616" s="14">
        <v>46076</v>
      </c>
      <c r="I616">
        <v>10</v>
      </c>
      <c r="J616" s="15">
        <v>1300</v>
      </c>
      <c r="K616" s="16">
        <f t="shared" si="18"/>
        <v>1.4396456256921373</v>
      </c>
      <c r="L616" s="15">
        <v>1300</v>
      </c>
      <c r="M616" s="16">
        <f t="shared" si="19"/>
        <v>1.4396456256921373</v>
      </c>
      <c r="N616" t="s">
        <v>283</v>
      </c>
    </row>
    <row r="617" spans="1:14" x14ac:dyDescent="0.25">
      <c r="A617" t="s">
        <v>451</v>
      </c>
      <c r="B617" t="s">
        <v>452</v>
      </c>
      <c r="C617" t="s">
        <v>1131</v>
      </c>
      <c r="D617">
        <v>2</v>
      </c>
      <c r="E617">
        <v>2</v>
      </c>
      <c r="F617">
        <v>903</v>
      </c>
      <c r="G617" s="14">
        <v>46067</v>
      </c>
      <c r="H617" s="14">
        <v>46076</v>
      </c>
      <c r="I617">
        <v>10</v>
      </c>
      <c r="J617" s="15">
        <v>1300</v>
      </c>
      <c r="K617" s="16">
        <f t="shared" si="18"/>
        <v>1.4396456256921373</v>
      </c>
      <c r="L617" s="15">
        <v>1300</v>
      </c>
      <c r="M617" s="16">
        <f t="shared" si="19"/>
        <v>1.4396456256921373</v>
      </c>
      <c r="N617" t="s">
        <v>283</v>
      </c>
    </row>
    <row r="618" spans="1:14" x14ac:dyDescent="0.25">
      <c r="A618" t="s">
        <v>462</v>
      </c>
      <c r="B618" t="s">
        <v>470</v>
      </c>
      <c r="C618" t="s">
        <v>1132</v>
      </c>
      <c r="D618">
        <v>1</v>
      </c>
      <c r="E618">
        <v>1</v>
      </c>
      <c r="F618">
        <v>732</v>
      </c>
      <c r="G618" s="14">
        <v>46049</v>
      </c>
      <c r="H618" s="14">
        <v>46076</v>
      </c>
      <c r="I618">
        <v>28</v>
      </c>
      <c r="J618" s="15">
        <v>1500</v>
      </c>
      <c r="K618" s="16">
        <f t="shared" si="18"/>
        <v>2.0491803278688523</v>
      </c>
      <c r="L618" s="15">
        <v>1125</v>
      </c>
      <c r="M618" s="16">
        <f t="shared" si="19"/>
        <v>1.5368852459016393</v>
      </c>
      <c r="N618" t="s">
        <v>283</v>
      </c>
    </row>
    <row r="619" spans="1:14" x14ac:dyDescent="0.25">
      <c r="A619" t="s">
        <v>462</v>
      </c>
      <c r="B619" t="s">
        <v>470</v>
      </c>
      <c r="C619" t="s">
        <v>1133</v>
      </c>
      <c r="D619">
        <v>1</v>
      </c>
      <c r="E619">
        <v>1</v>
      </c>
      <c r="F619">
        <v>732</v>
      </c>
      <c r="G619" s="14">
        <v>45987</v>
      </c>
      <c r="H619" s="14">
        <v>46076</v>
      </c>
      <c r="I619">
        <v>90</v>
      </c>
      <c r="J619" s="15">
        <v>1500</v>
      </c>
      <c r="K619" s="16">
        <f t="shared" si="18"/>
        <v>2.0491803278688523</v>
      </c>
      <c r="L619" s="15">
        <v>1125</v>
      </c>
      <c r="M619" s="16">
        <f t="shared" si="19"/>
        <v>1.5368852459016393</v>
      </c>
      <c r="N619" t="s">
        <v>283</v>
      </c>
    </row>
    <row r="620" spans="1:14" x14ac:dyDescent="0.25">
      <c r="A620" t="s">
        <v>472</v>
      </c>
      <c r="B620" t="s">
        <v>496</v>
      </c>
      <c r="C620" t="s">
        <v>1134</v>
      </c>
      <c r="D620">
        <v>1</v>
      </c>
      <c r="E620">
        <v>1</v>
      </c>
      <c r="F620">
        <v>625</v>
      </c>
      <c r="G620" s="14">
        <v>45959</v>
      </c>
      <c r="H620" s="14">
        <v>46076</v>
      </c>
      <c r="I620">
        <v>118</v>
      </c>
      <c r="J620" s="15">
        <v>1098</v>
      </c>
      <c r="K620" s="16">
        <f t="shared" si="18"/>
        <v>1.7567999999999999</v>
      </c>
      <c r="L620" s="15">
        <v>941</v>
      </c>
      <c r="M620" s="16">
        <f t="shared" si="19"/>
        <v>1.5056</v>
      </c>
      <c r="N620" t="s">
        <v>283</v>
      </c>
    </row>
    <row r="621" spans="1:14" x14ac:dyDescent="0.25">
      <c r="A621" t="s">
        <v>486</v>
      </c>
      <c r="B621" t="s">
        <v>581</v>
      </c>
      <c r="C621" t="s">
        <v>1135</v>
      </c>
      <c r="D621">
        <v>1</v>
      </c>
      <c r="E621">
        <v>1</v>
      </c>
      <c r="F621">
        <v>650</v>
      </c>
      <c r="G621" s="14">
        <v>45961</v>
      </c>
      <c r="H621" s="14">
        <v>46076</v>
      </c>
      <c r="I621">
        <v>116</v>
      </c>
      <c r="J621" s="15">
        <v>1117</v>
      </c>
      <c r="K621" s="16">
        <f t="shared" si="18"/>
        <v>1.7184615384615385</v>
      </c>
      <c r="L621" s="15">
        <v>838</v>
      </c>
      <c r="M621" s="16">
        <f t="shared" si="19"/>
        <v>1.2892307692307692</v>
      </c>
      <c r="N621" t="s">
        <v>283</v>
      </c>
    </row>
    <row r="622" spans="1:14" x14ac:dyDescent="0.25">
      <c r="A622" t="s">
        <v>465</v>
      </c>
      <c r="B622" t="s">
        <v>551</v>
      </c>
      <c r="C622" t="s">
        <v>1136</v>
      </c>
      <c r="D622">
        <v>1</v>
      </c>
      <c r="E622">
        <v>1</v>
      </c>
      <c r="F622">
        <v>757</v>
      </c>
      <c r="G622" s="14">
        <v>46048</v>
      </c>
      <c r="H622" s="14">
        <v>46076</v>
      </c>
      <c r="I622">
        <v>29</v>
      </c>
      <c r="J622" s="15">
        <v>1356</v>
      </c>
      <c r="K622" s="16">
        <f t="shared" si="18"/>
        <v>1.7912813738441216</v>
      </c>
      <c r="L622" s="15">
        <v>1163</v>
      </c>
      <c r="M622" s="16">
        <f t="shared" si="19"/>
        <v>1.5363276089828271</v>
      </c>
      <c r="N622" t="s">
        <v>283</v>
      </c>
    </row>
    <row r="623" spans="1:14" x14ac:dyDescent="0.25">
      <c r="A623" t="s">
        <v>477</v>
      </c>
      <c r="B623" t="s">
        <v>812</v>
      </c>
      <c r="C623" t="s">
        <v>1137</v>
      </c>
      <c r="D623">
        <v>4</v>
      </c>
      <c r="E623">
        <v>2</v>
      </c>
      <c r="F623">
        <v>1444</v>
      </c>
      <c r="G623" s="14">
        <v>46072</v>
      </c>
      <c r="H623" s="14">
        <v>46077</v>
      </c>
      <c r="I623">
        <v>6</v>
      </c>
      <c r="J623" s="15">
        <v>1543</v>
      </c>
      <c r="K623" s="16">
        <f t="shared" si="18"/>
        <v>1.0685595567867037</v>
      </c>
      <c r="L623" s="15">
        <v>1543</v>
      </c>
      <c r="M623" s="16">
        <f t="shared" si="19"/>
        <v>1.0685595567867037</v>
      </c>
      <c r="N623" t="s">
        <v>283</v>
      </c>
    </row>
    <row r="624" spans="1:14" x14ac:dyDescent="0.25">
      <c r="A624" t="s">
        <v>457</v>
      </c>
      <c r="B624" t="s">
        <v>525</v>
      </c>
      <c r="C624" t="s">
        <v>1138</v>
      </c>
      <c r="D624">
        <v>2</v>
      </c>
      <c r="E624">
        <v>2</v>
      </c>
      <c r="F624">
        <v>1001</v>
      </c>
      <c r="G624" s="14">
        <v>45994</v>
      </c>
      <c r="H624" s="14">
        <v>46077</v>
      </c>
      <c r="I624">
        <v>84</v>
      </c>
      <c r="J624" s="15">
        <v>1418</v>
      </c>
      <c r="K624" s="16">
        <f t="shared" si="18"/>
        <v>1.4165834165834166</v>
      </c>
      <c r="L624" s="15">
        <v>1216</v>
      </c>
      <c r="M624" s="16">
        <f t="shared" si="19"/>
        <v>1.2147852147852147</v>
      </c>
      <c r="N624" t="s">
        <v>283</v>
      </c>
    </row>
    <row r="625" spans="1:14" x14ac:dyDescent="0.25">
      <c r="A625" t="s">
        <v>451</v>
      </c>
      <c r="B625" t="s">
        <v>452</v>
      </c>
      <c r="C625" t="s">
        <v>1139</v>
      </c>
      <c r="D625">
        <v>2</v>
      </c>
      <c r="E625">
        <v>2</v>
      </c>
      <c r="F625">
        <v>903</v>
      </c>
      <c r="G625" s="14">
        <v>46042</v>
      </c>
      <c r="H625" s="14">
        <v>46078</v>
      </c>
      <c r="I625">
        <v>37</v>
      </c>
      <c r="J625" s="15">
        <v>1300</v>
      </c>
      <c r="K625" s="16">
        <f t="shared" si="18"/>
        <v>1.4396456256921373</v>
      </c>
      <c r="L625" s="15">
        <v>1300</v>
      </c>
      <c r="M625" s="16">
        <f t="shared" si="19"/>
        <v>1.4396456256921373</v>
      </c>
      <c r="N625" t="s">
        <v>283</v>
      </c>
    </row>
    <row r="626" spans="1:14" x14ac:dyDescent="0.25">
      <c r="A626" t="s">
        <v>451</v>
      </c>
      <c r="B626" t="s">
        <v>452</v>
      </c>
      <c r="C626" t="s">
        <v>476</v>
      </c>
      <c r="D626">
        <v>2</v>
      </c>
      <c r="E626">
        <v>2</v>
      </c>
      <c r="F626">
        <v>903</v>
      </c>
      <c r="G626" s="14">
        <v>46050</v>
      </c>
      <c r="H626" s="14">
        <v>46078</v>
      </c>
      <c r="I626">
        <v>29</v>
      </c>
      <c r="J626" s="15">
        <v>1300</v>
      </c>
      <c r="K626" s="16">
        <f t="shared" si="18"/>
        <v>1.4396456256921373</v>
      </c>
      <c r="L626" s="15">
        <v>1300</v>
      </c>
      <c r="M626" s="16">
        <f t="shared" si="19"/>
        <v>1.4396456256921373</v>
      </c>
      <c r="N626" t="s">
        <v>283</v>
      </c>
    </row>
    <row r="627" spans="1:14" x14ac:dyDescent="0.25">
      <c r="A627" t="s">
        <v>477</v>
      </c>
      <c r="B627" t="s">
        <v>587</v>
      </c>
      <c r="C627" t="s">
        <v>1140</v>
      </c>
      <c r="D627">
        <v>3</v>
      </c>
      <c r="E627">
        <v>2</v>
      </c>
      <c r="F627">
        <v>1244</v>
      </c>
      <c r="G627" s="14">
        <v>45980</v>
      </c>
      <c r="H627" s="14">
        <v>46078</v>
      </c>
      <c r="I627">
        <v>99</v>
      </c>
      <c r="J627" s="15">
        <v>1396</v>
      </c>
      <c r="K627" s="16">
        <f t="shared" si="18"/>
        <v>1.1221864951768488</v>
      </c>
      <c r="L627" s="15">
        <v>1396</v>
      </c>
      <c r="M627" s="16">
        <f t="shared" si="19"/>
        <v>1.1221864951768488</v>
      </c>
      <c r="N627" t="s">
        <v>283</v>
      </c>
    </row>
    <row r="628" spans="1:14" x14ac:dyDescent="0.25">
      <c r="A628" t="s">
        <v>462</v>
      </c>
      <c r="B628" t="s">
        <v>463</v>
      </c>
      <c r="C628" t="s">
        <v>1141</v>
      </c>
      <c r="D628">
        <v>2</v>
      </c>
      <c r="E628">
        <v>2</v>
      </c>
      <c r="F628">
        <v>958</v>
      </c>
      <c r="G628" s="14">
        <v>46015</v>
      </c>
      <c r="H628" s="14">
        <v>46078</v>
      </c>
      <c r="I628">
        <v>64</v>
      </c>
      <c r="J628" s="15">
        <v>1650</v>
      </c>
      <c r="K628" s="16">
        <f t="shared" si="18"/>
        <v>1.7223382045929019</v>
      </c>
      <c r="L628" s="15">
        <v>1238</v>
      </c>
      <c r="M628" s="16">
        <f t="shared" si="19"/>
        <v>1.292275574112735</v>
      </c>
      <c r="N628" t="s">
        <v>283</v>
      </c>
    </row>
    <row r="629" spans="1:14" x14ac:dyDescent="0.25">
      <c r="A629" t="s">
        <v>462</v>
      </c>
      <c r="B629" t="s">
        <v>463</v>
      </c>
      <c r="C629" t="s">
        <v>1142</v>
      </c>
      <c r="D629">
        <v>2</v>
      </c>
      <c r="E629">
        <v>2</v>
      </c>
      <c r="F629">
        <v>958</v>
      </c>
      <c r="G629" s="14">
        <v>45930</v>
      </c>
      <c r="H629" s="14">
        <v>46078</v>
      </c>
      <c r="I629">
        <v>149</v>
      </c>
      <c r="J629" s="15">
        <v>1650</v>
      </c>
      <c r="K629" s="16">
        <f t="shared" si="18"/>
        <v>1.7223382045929019</v>
      </c>
      <c r="L629" s="15">
        <v>1238</v>
      </c>
      <c r="M629" s="16">
        <f t="shared" si="19"/>
        <v>1.292275574112735</v>
      </c>
      <c r="N629" t="s">
        <v>283</v>
      </c>
    </row>
    <row r="630" spans="1:14" x14ac:dyDescent="0.25">
      <c r="A630" t="s">
        <v>457</v>
      </c>
      <c r="B630" t="s">
        <v>683</v>
      </c>
      <c r="C630" t="s">
        <v>1143</v>
      </c>
      <c r="D630">
        <v>1</v>
      </c>
      <c r="E630">
        <v>1</v>
      </c>
      <c r="F630">
        <v>762</v>
      </c>
      <c r="G630" s="14">
        <v>45967</v>
      </c>
      <c r="H630" s="14">
        <v>46078</v>
      </c>
      <c r="I630">
        <v>112</v>
      </c>
      <c r="J630" s="15">
        <v>1215</v>
      </c>
      <c r="K630" s="16">
        <f t="shared" si="18"/>
        <v>1.594488188976378</v>
      </c>
      <c r="L630" s="15">
        <v>1011</v>
      </c>
      <c r="M630" s="16">
        <f t="shared" si="19"/>
        <v>1.3267716535433072</v>
      </c>
      <c r="N630" t="s">
        <v>283</v>
      </c>
    </row>
    <row r="631" spans="1:14" x14ac:dyDescent="0.25">
      <c r="A631" t="s">
        <v>454</v>
      </c>
      <c r="B631" t="s">
        <v>455</v>
      </c>
      <c r="C631" t="s">
        <v>1144</v>
      </c>
      <c r="D631">
        <v>2</v>
      </c>
      <c r="E631">
        <v>2</v>
      </c>
      <c r="F631">
        <v>1001</v>
      </c>
      <c r="G631" s="14">
        <v>46043</v>
      </c>
      <c r="H631" s="14">
        <v>46079</v>
      </c>
      <c r="I631">
        <v>37</v>
      </c>
      <c r="J631" s="15">
        <v>1275</v>
      </c>
      <c r="K631" s="16">
        <f t="shared" si="18"/>
        <v>1.2737262737262738</v>
      </c>
      <c r="L631" s="15">
        <v>1275</v>
      </c>
      <c r="M631" s="16">
        <f t="shared" si="19"/>
        <v>1.2737262737262738</v>
      </c>
      <c r="N631" t="s">
        <v>283</v>
      </c>
    </row>
    <row r="632" spans="1:14" x14ac:dyDescent="0.25">
      <c r="A632" t="s">
        <v>472</v>
      </c>
      <c r="B632" t="s">
        <v>473</v>
      </c>
      <c r="C632" t="s">
        <v>1145</v>
      </c>
      <c r="D632">
        <v>2</v>
      </c>
      <c r="E632">
        <v>1</v>
      </c>
      <c r="F632">
        <v>800</v>
      </c>
      <c r="G632" s="14">
        <v>46063</v>
      </c>
      <c r="H632" s="14">
        <v>46079</v>
      </c>
      <c r="I632">
        <v>17</v>
      </c>
      <c r="J632" s="15">
        <v>1348</v>
      </c>
      <c r="K632" s="16">
        <f t="shared" si="18"/>
        <v>1.6850000000000001</v>
      </c>
      <c r="L632" s="15">
        <v>1168</v>
      </c>
      <c r="M632" s="16">
        <f t="shared" si="19"/>
        <v>1.46</v>
      </c>
      <c r="N632" t="s">
        <v>283</v>
      </c>
    </row>
    <row r="633" spans="1:14" x14ac:dyDescent="0.25">
      <c r="A633" t="s">
        <v>486</v>
      </c>
      <c r="B633" t="s">
        <v>521</v>
      </c>
      <c r="C633" t="s">
        <v>1146</v>
      </c>
      <c r="D633">
        <v>2</v>
      </c>
      <c r="E633">
        <v>2</v>
      </c>
      <c r="F633">
        <v>1000</v>
      </c>
      <c r="G633" s="14">
        <v>45934</v>
      </c>
      <c r="H633" s="14">
        <v>46079</v>
      </c>
      <c r="I633">
        <v>146</v>
      </c>
      <c r="J633" s="15">
        <v>1481</v>
      </c>
      <c r="K633" s="16">
        <f t="shared" si="18"/>
        <v>1.4810000000000001</v>
      </c>
      <c r="L633" s="15">
        <v>1111</v>
      </c>
      <c r="M633" s="16">
        <f t="shared" si="19"/>
        <v>1.111</v>
      </c>
      <c r="N633" t="s">
        <v>283</v>
      </c>
    </row>
    <row r="634" spans="1:14" x14ac:dyDescent="0.25">
      <c r="A634" t="s">
        <v>457</v>
      </c>
      <c r="B634" t="s">
        <v>633</v>
      </c>
      <c r="C634" t="s">
        <v>1147</v>
      </c>
      <c r="D634">
        <v>1</v>
      </c>
      <c r="E634">
        <v>1</v>
      </c>
      <c r="F634">
        <v>541</v>
      </c>
      <c r="G634" s="14">
        <v>46072</v>
      </c>
      <c r="H634" s="14">
        <v>46079</v>
      </c>
      <c r="I634">
        <v>8</v>
      </c>
      <c r="J634" s="15">
        <v>1022</v>
      </c>
      <c r="K634" s="16">
        <f t="shared" si="18"/>
        <v>1.8890942698706099</v>
      </c>
      <c r="L634" s="15">
        <v>896</v>
      </c>
      <c r="M634" s="16">
        <f t="shared" si="19"/>
        <v>1.656192236598891</v>
      </c>
      <c r="N634" t="s">
        <v>283</v>
      </c>
    </row>
    <row r="635" spans="1:14" x14ac:dyDescent="0.25">
      <c r="A635" t="s">
        <v>465</v>
      </c>
      <c r="B635" t="s">
        <v>984</v>
      </c>
      <c r="C635" t="s">
        <v>1148</v>
      </c>
      <c r="D635">
        <v>1</v>
      </c>
      <c r="E635">
        <v>1</v>
      </c>
      <c r="F635">
        <v>532</v>
      </c>
      <c r="G635" s="14">
        <v>45962</v>
      </c>
      <c r="H635" s="14">
        <v>46079</v>
      </c>
      <c r="I635">
        <v>118</v>
      </c>
      <c r="J635" s="15">
        <v>1156</v>
      </c>
      <c r="K635" s="16">
        <f t="shared" si="18"/>
        <v>2.1729323308270678</v>
      </c>
      <c r="L635" s="15">
        <v>1003</v>
      </c>
      <c r="M635" s="16">
        <f t="shared" si="19"/>
        <v>1.8853383458646618</v>
      </c>
      <c r="N635" t="s">
        <v>283</v>
      </c>
    </row>
    <row r="636" spans="1:14" x14ac:dyDescent="0.25">
      <c r="A636" t="s">
        <v>542</v>
      </c>
      <c r="B636" t="s">
        <v>669</v>
      </c>
      <c r="C636" t="s">
        <v>1149</v>
      </c>
      <c r="D636">
        <v>3</v>
      </c>
      <c r="E636">
        <v>2</v>
      </c>
      <c r="F636">
        <v>1202</v>
      </c>
      <c r="G636" s="14">
        <v>46078</v>
      </c>
      <c r="H636" s="14">
        <v>46079</v>
      </c>
      <c r="I636">
        <v>2</v>
      </c>
      <c r="J636" s="15">
        <v>1226</v>
      </c>
      <c r="K636" s="16">
        <f t="shared" si="18"/>
        <v>1.0199667221297837</v>
      </c>
      <c r="L636" s="15">
        <v>1226</v>
      </c>
      <c r="M636" s="16">
        <f t="shared" si="19"/>
        <v>1.0199667221297837</v>
      </c>
      <c r="N636" t="s">
        <v>283</v>
      </c>
    </row>
    <row r="637" spans="1:14" x14ac:dyDescent="0.25">
      <c r="A637" t="s">
        <v>477</v>
      </c>
      <c r="B637" t="s">
        <v>609</v>
      </c>
      <c r="C637" t="s">
        <v>1150</v>
      </c>
      <c r="D637">
        <v>2</v>
      </c>
      <c r="E637">
        <v>2</v>
      </c>
      <c r="F637">
        <v>1050</v>
      </c>
      <c r="G637" s="14">
        <v>46003</v>
      </c>
      <c r="H637" s="14">
        <v>46080</v>
      </c>
      <c r="I637">
        <v>78</v>
      </c>
      <c r="J637" s="15">
        <v>1217</v>
      </c>
      <c r="K637" s="16">
        <f t="shared" si="18"/>
        <v>1.1590476190476191</v>
      </c>
      <c r="L637" s="15">
        <v>1217</v>
      </c>
      <c r="M637" s="16">
        <f t="shared" si="19"/>
        <v>1.1590476190476191</v>
      </c>
      <c r="N637" t="s">
        <v>283</v>
      </c>
    </row>
    <row r="638" spans="1:14" x14ac:dyDescent="0.25">
      <c r="A638" t="s">
        <v>457</v>
      </c>
      <c r="B638" t="s">
        <v>458</v>
      </c>
      <c r="C638" t="s">
        <v>1151</v>
      </c>
      <c r="D638">
        <v>1</v>
      </c>
      <c r="E638">
        <v>1</v>
      </c>
      <c r="F638">
        <v>762</v>
      </c>
      <c r="G638" s="14">
        <v>45966</v>
      </c>
      <c r="H638" s="14">
        <v>46080</v>
      </c>
      <c r="I638">
        <v>115</v>
      </c>
      <c r="J638" s="15">
        <v>1330</v>
      </c>
      <c r="K638" s="16">
        <f t="shared" si="18"/>
        <v>1.7454068241469816</v>
      </c>
      <c r="L638" s="15">
        <v>1107</v>
      </c>
      <c r="M638" s="16">
        <f t="shared" si="19"/>
        <v>1.4527559055118111</v>
      </c>
      <c r="N638" t="s">
        <v>283</v>
      </c>
    </row>
    <row r="639" spans="1:14" x14ac:dyDescent="0.25">
      <c r="A639" t="s">
        <v>457</v>
      </c>
      <c r="B639" t="s">
        <v>458</v>
      </c>
      <c r="C639" t="s">
        <v>1152</v>
      </c>
      <c r="D639">
        <v>1</v>
      </c>
      <c r="E639">
        <v>1</v>
      </c>
      <c r="F639">
        <v>762</v>
      </c>
      <c r="G639" s="14">
        <v>45931</v>
      </c>
      <c r="H639" s="14">
        <v>46080</v>
      </c>
      <c r="I639">
        <v>150</v>
      </c>
      <c r="J639" s="15">
        <v>1330</v>
      </c>
      <c r="K639" s="16">
        <f t="shared" si="18"/>
        <v>1.7454068241469816</v>
      </c>
      <c r="L639" s="15">
        <v>1107</v>
      </c>
      <c r="M639" s="16">
        <f t="shared" si="19"/>
        <v>1.4527559055118111</v>
      </c>
      <c r="N639" t="s">
        <v>283</v>
      </c>
    </row>
    <row r="640" spans="1:14" x14ac:dyDescent="0.25">
      <c r="A640" t="s">
        <v>457</v>
      </c>
      <c r="B640" t="s">
        <v>523</v>
      </c>
      <c r="C640" t="s">
        <v>1153</v>
      </c>
      <c r="D640">
        <v>2</v>
      </c>
      <c r="E640">
        <v>2</v>
      </c>
      <c r="F640">
        <v>1001</v>
      </c>
      <c r="G640" s="14">
        <v>45999</v>
      </c>
      <c r="H640" s="14">
        <v>46080</v>
      </c>
      <c r="I640">
        <v>82</v>
      </c>
      <c r="J640" s="15">
        <v>1363</v>
      </c>
      <c r="K640" s="16">
        <f t="shared" si="18"/>
        <v>1.3616383616383616</v>
      </c>
      <c r="L640" s="15">
        <v>1153</v>
      </c>
      <c r="M640" s="16">
        <f t="shared" si="19"/>
        <v>1.1518481518481518</v>
      </c>
      <c r="N640" t="s">
        <v>283</v>
      </c>
    </row>
    <row r="641" spans="1:14" x14ac:dyDescent="0.25">
      <c r="A641" t="s">
        <v>457</v>
      </c>
      <c r="B641" t="s">
        <v>525</v>
      </c>
      <c r="C641" t="s">
        <v>1154</v>
      </c>
      <c r="D641">
        <v>2</v>
      </c>
      <c r="E641">
        <v>2</v>
      </c>
      <c r="F641">
        <v>1001</v>
      </c>
      <c r="G641" s="14">
        <v>45798</v>
      </c>
      <c r="H641" s="14">
        <v>46080</v>
      </c>
      <c r="I641">
        <v>283</v>
      </c>
      <c r="J641" s="15">
        <v>1418</v>
      </c>
      <c r="K641" s="16">
        <f t="shared" si="18"/>
        <v>1.4165834165834166</v>
      </c>
      <c r="L641" s="15">
        <v>1216</v>
      </c>
      <c r="M641" s="16">
        <f t="shared" si="19"/>
        <v>1.2147852147852147</v>
      </c>
      <c r="N641" t="s">
        <v>283</v>
      </c>
    </row>
    <row r="642" spans="1:14" x14ac:dyDescent="0.25">
      <c r="A642" t="s">
        <v>454</v>
      </c>
      <c r="B642" t="s">
        <v>455</v>
      </c>
      <c r="C642" t="s">
        <v>1155</v>
      </c>
      <c r="D642">
        <v>2</v>
      </c>
      <c r="E642">
        <v>2</v>
      </c>
      <c r="F642">
        <v>1001</v>
      </c>
      <c r="G642" s="14">
        <v>46057</v>
      </c>
      <c r="H642" s="14">
        <v>46081</v>
      </c>
      <c r="I642">
        <v>25</v>
      </c>
      <c r="J642" s="15">
        <v>1275</v>
      </c>
      <c r="K642" s="16">
        <f t="shared" ref="K642:K705" si="20">IFERROR(J642/F642,0)</f>
        <v>1.2737262737262738</v>
      </c>
      <c r="L642" s="15">
        <v>1275</v>
      </c>
      <c r="M642" s="16">
        <f t="shared" ref="M642:M705" si="21">IFERROR(L642/F642,0)</f>
        <v>1.2737262737262738</v>
      </c>
      <c r="N642" t="s">
        <v>283</v>
      </c>
    </row>
    <row r="643" spans="1:14" x14ac:dyDescent="0.25">
      <c r="A643" t="s">
        <v>472</v>
      </c>
      <c r="B643" t="s">
        <v>496</v>
      </c>
      <c r="C643" t="s">
        <v>1156</v>
      </c>
      <c r="D643">
        <v>1</v>
      </c>
      <c r="E643">
        <v>1</v>
      </c>
      <c r="F643">
        <v>625</v>
      </c>
      <c r="G643" s="14">
        <v>46048</v>
      </c>
      <c r="H643" s="14">
        <v>46081</v>
      </c>
      <c r="I643">
        <v>34</v>
      </c>
      <c r="J643" s="15">
        <v>1098</v>
      </c>
      <c r="K643" s="16">
        <f t="shared" si="20"/>
        <v>1.7567999999999999</v>
      </c>
      <c r="L643" s="15">
        <v>952</v>
      </c>
      <c r="M643" s="16">
        <f t="shared" si="21"/>
        <v>1.5232000000000001</v>
      </c>
      <c r="N643" t="s">
        <v>283</v>
      </c>
    </row>
    <row r="644" spans="1:14" x14ac:dyDescent="0.25">
      <c r="A644" t="s">
        <v>457</v>
      </c>
      <c r="B644" t="s">
        <v>525</v>
      </c>
      <c r="C644" t="s">
        <v>1157</v>
      </c>
      <c r="D644">
        <v>2</v>
      </c>
      <c r="E644">
        <v>2</v>
      </c>
      <c r="F644">
        <v>1001</v>
      </c>
      <c r="G644" s="14">
        <v>46061</v>
      </c>
      <c r="H644" s="14">
        <v>46081</v>
      </c>
      <c r="I644">
        <v>21</v>
      </c>
      <c r="J644" s="15">
        <v>1418</v>
      </c>
      <c r="K644" s="16">
        <f t="shared" si="20"/>
        <v>1.4165834165834166</v>
      </c>
      <c r="L644" s="15">
        <v>1091</v>
      </c>
      <c r="M644" s="16">
        <f t="shared" si="21"/>
        <v>1.08991008991009</v>
      </c>
      <c r="N644" t="s">
        <v>283</v>
      </c>
    </row>
    <row r="645" spans="1:14" x14ac:dyDescent="0.25">
      <c r="A645" t="s">
        <v>465</v>
      </c>
      <c r="B645" t="s">
        <v>551</v>
      </c>
      <c r="C645" t="s">
        <v>1158</v>
      </c>
      <c r="D645">
        <v>1</v>
      </c>
      <c r="E645">
        <v>1</v>
      </c>
      <c r="F645">
        <v>757</v>
      </c>
      <c r="G645" s="14">
        <v>46021</v>
      </c>
      <c r="H645" s="14">
        <v>46081</v>
      </c>
      <c r="I645">
        <v>61</v>
      </c>
      <c r="J645" s="15">
        <v>1346</v>
      </c>
      <c r="K645" s="16">
        <f t="shared" si="20"/>
        <v>1.7780713342140027</v>
      </c>
      <c r="L645" s="15">
        <v>1155</v>
      </c>
      <c r="M645" s="16">
        <f t="shared" si="21"/>
        <v>1.5257595772787318</v>
      </c>
      <c r="N645" t="s">
        <v>283</v>
      </c>
    </row>
    <row r="646" spans="1:14" x14ac:dyDescent="0.25">
      <c r="A646" t="s">
        <v>454</v>
      </c>
      <c r="B646" t="s">
        <v>455</v>
      </c>
      <c r="D646">
        <v>2</v>
      </c>
      <c r="E646">
        <v>2</v>
      </c>
      <c r="F646">
        <v>1001</v>
      </c>
      <c r="G646" s="14">
        <v>46081</v>
      </c>
      <c r="H646" s="14">
        <v>46082</v>
      </c>
      <c r="I646">
        <v>2</v>
      </c>
      <c r="J646" s="15">
        <v>1275</v>
      </c>
      <c r="K646" s="16">
        <f t="shared" si="20"/>
        <v>1.2737262737262738</v>
      </c>
      <c r="L646" s="15">
        <v>1275</v>
      </c>
      <c r="M646" s="16">
        <f t="shared" si="21"/>
        <v>1.2737262737262738</v>
      </c>
      <c r="N646" t="s">
        <v>323</v>
      </c>
    </row>
    <row r="647" spans="1:14" x14ac:dyDescent="0.25">
      <c r="A647" t="s">
        <v>472</v>
      </c>
      <c r="B647" t="s">
        <v>676</v>
      </c>
      <c r="C647" t="s">
        <v>1159</v>
      </c>
      <c r="D647">
        <v>3</v>
      </c>
      <c r="E647">
        <v>2</v>
      </c>
      <c r="F647">
        <v>1000</v>
      </c>
      <c r="G647" s="14">
        <v>46021</v>
      </c>
      <c r="H647" s="14">
        <v>46082</v>
      </c>
      <c r="I647">
        <v>62</v>
      </c>
      <c r="J647" s="15">
        <v>1750</v>
      </c>
      <c r="K647" s="16">
        <f t="shared" si="20"/>
        <v>1.75</v>
      </c>
      <c r="L647" s="15">
        <v>1517</v>
      </c>
      <c r="M647" s="16">
        <f t="shared" si="21"/>
        <v>1.5169999999999999</v>
      </c>
      <c r="N647" t="s">
        <v>323</v>
      </c>
    </row>
    <row r="648" spans="1:14" x14ac:dyDescent="0.25">
      <c r="A648" t="s">
        <v>472</v>
      </c>
      <c r="B648" t="s">
        <v>676</v>
      </c>
      <c r="C648" t="s">
        <v>1160</v>
      </c>
      <c r="D648">
        <v>3</v>
      </c>
      <c r="E648">
        <v>2</v>
      </c>
      <c r="F648">
        <v>1000</v>
      </c>
      <c r="G648" s="14">
        <v>45910</v>
      </c>
      <c r="H648" s="14">
        <v>46082</v>
      </c>
      <c r="I648">
        <v>173</v>
      </c>
      <c r="J648" s="15">
        <v>1750</v>
      </c>
      <c r="K648" s="16">
        <f t="shared" si="20"/>
        <v>1.75</v>
      </c>
      <c r="L648" s="15">
        <v>1517</v>
      </c>
      <c r="M648" s="16">
        <f t="shared" si="21"/>
        <v>1.5169999999999999</v>
      </c>
      <c r="N648" t="s">
        <v>323</v>
      </c>
    </row>
    <row r="649" spans="1:14" x14ac:dyDescent="0.25">
      <c r="A649" t="s">
        <v>451</v>
      </c>
      <c r="B649" t="s">
        <v>460</v>
      </c>
      <c r="C649" t="s">
        <v>801</v>
      </c>
      <c r="D649">
        <v>1</v>
      </c>
      <c r="E649">
        <v>1</v>
      </c>
      <c r="F649">
        <v>726</v>
      </c>
      <c r="G649" s="14">
        <v>45846</v>
      </c>
      <c r="H649" s="14">
        <v>46084</v>
      </c>
      <c r="I649">
        <v>239</v>
      </c>
      <c r="J649" s="15">
        <v>1100</v>
      </c>
      <c r="K649" s="16">
        <f t="shared" si="20"/>
        <v>1.5151515151515151</v>
      </c>
      <c r="L649" s="15">
        <v>1100</v>
      </c>
      <c r="M649" s="16">
        <f t="shared" si="21"/>
        <v>1.5151515151515151</v>
      </c>
      <c r="N649" t="s">
        <v>323</v>
      </c>
    </row>
    <row r="650" spans="1:14" x14ac:dyDescent="0.25">
      <c r="A650" t="s">
        <v>486</v>
      </c>
      <c r="B650" t="s">
        <v>510</v>
      </c>
      <c r="C650" t="s">
        <v>1161</v>
      </c>
      <c r="D650">
        <v>1</v>
      </c>
      <c r="E650">
        <v>1</v>
      </c>
      <c r="F650">
        <v>650</v>
      </c>
      <c r="G650" s="14">
        <v>45888</v>
      </c>
      <c r="H650" s="14">
        <v>46084</v>
      </c>
      <c r="I650">
        <v>197</v>
      </c>
      <c r="J650" s="15">
        <v>1232</v>
      </c>
      <c r="K650" s="16">
        <f t="shared" si="20"/>
        <v>1.8953846153846154</v>
      </c>
      <c r="L650" s="15">
        <v>1069</v>
      </c>
      <c r="M650" s="16">
        <f t="shared" si="21"/>
        <v>1.6446153846153846</v>
      </c>
      <c r="N650" t="s">
        <v>323</v>
      </c>
    </row>
    <row r="651" spans="1:14" x14ac:dyDescent="0.25">
      <c r="A651" t="s">
        <v>457</v>
      </c>
      <c r="B651" t="s">
        <v>525</v>
      </c>
      <c r="C651" t="s">
        <v>1162</v>
      </c>
      <c r="D651">
        <v>2</v>
      </c>
      <c r="E651">
        <v>2</v>
      </c>
      <c r="F651">
        <v>1001</v>
      </c>
      <c r="G651" s="14">
        <v>46071</v>
      </c>
      <c r="H651" s="14">
        <v>46084</v>
      </c>
      <c r="I651">
        <v>14</v>
      </c>
      <c r="J651" s="15">
        <v>1418</v>
      </c>
      <c r="K651" s="16">
        <f t="shared" si="20"/>
        <v>1.4165834165834166</v>
      </c>
      <c r="L651" s="15">
        <v>1091</v>
      </c>
      <c r="M651" s="16">
        <f t="shared" si="21"/>
        <v>1.08991008991009</v>
      </c>
      <c r="N651" t="s">
        <v>323</v>
      </c>
    </row>
    <row r="652" spans="1:14" x14ac:dyDescent="0.25">
      <c r="A652" t="s">
        <v>465</v>
      </c>
      <c r="B652" t="s">
        <v>672</v>
      </c>
      <c r="C652" t="s">
        <v>1163</v>
      </c>
      <c r="D652">
        <v>1</v>
      </c>
      <c r="E652">
        <v>1</v>
      </c>
      <c r="F652">
        <v>532</v>
      </c>
      <c r="G652" s="14">
        <v>46081</v>
      </c>
      <c r="H652" s="14">
        <v>46084</v>
      </c>
      <c r="I652">
        <v>4</v>
      </c>
      <c r="J652" s="15">
        <v>1066</v>
      </c>
      <c r="K652" s="16">
        <f t="shared" si="20"/>
        <v>2.0037593984962405</v>
      </c>
      <c r="L652" s="15">
        <v>914</v>
      </c>
      <c r="M652" s="16">
        <f t="shared" si="21"/>
        <v>1.7180451127819549</v>
      </c>
      <c r="N652" t="s">
        <v>323</v>
      </c>
    </row>
    <row r="653" spans="1:14" x14ac:dyDescent="0.25">
      <c r="A653" t="s">
        <v>472</v>
      </c>
      <c r="B653" t="s">
        <v>473</v>
      </c>
      <c r="C653" t="s">
        <v>1164</v>
      </c>
      <c r="D653">
        <v>2</v>
      </c>
      <c r="E653">
        <v>1</v>
      </c>
      <c r="F653">
        <v>800</v>
      </c>
      <c r="G653" s="14">
        <v>45985</v>
      </c>
      <c r="H653" s="14">
        <v>46085</v>
      </c>
      <c r="I653">
        <v>101</v>
      </c>
      <c r="J653" s="15">
        <v>1568</v>
      </c>
      <c r="K653" s="16">
        <f t="shared" si="20"/>
        <v>1.96</v>
      </c>
      <c r="L653" s="15">
        <v>1344</v>
      </c>
      <c r="M653" s="16">
        <f t="shared" si="21"/>
        <v>1.68</v>
      </c>
      <c r="N653" t="s">
        <v>323</v>
      </c>
    </row>
    <row r="654" spans="1:14" x14ac:dyDescent="0.25">
      <c r="A654" t="s">
        <v>454</v>
      </c>
      <c r="B654" t="s">
        <v>481</v>
      </c>
      <c r="C654" t="s">
        <v>1165</v>
      </c>
      <c r="D654">
        <v>2</v>
      </c>
      <c r="E654">
        <v>2</v>
      </c>
      <c r="F654">
        <v>1001</v>
      </c>
      <c r="G654" s="14">
        <v>46007</v>
      </c>
      <c r="H654" s="14">
        <v>46086</v>
      </c>
      <c r="I654">
        <v>80</v>
      </c>
      <c r="J654" s="15">
        <v>1275</v>
      </c>
      <c r="K654" s="16">
        <f t="shared" si="20"/>
        <v>1.2737262737262738</v>
      </c>
      <c r="L654" s="15">
        <v>1275</v>
      </c>
      <c r="M654" s="16">
        <f t="shared" si="21"/>
        <v>1.2737262737262738</v>
      </c>
      <c r="N654" t="s">
        <v>323</v>
      </c>
    </row>
    <row r="655" spans="1:14" x14ac:dyDescent="0.25">
      <c r="A655" t="s">
        <v>457</v>
      </c>
      <c r="B655" t="s">
        <v>562</v>
      </c>
      <c r="C655" t="s">
        <v>1166</v>
      </c>
      <c r="D655">
        <v>2</v>
      </c>
      <c r="E655">
        <v>2</v>
      </c>
      <c r="F655">
        <v>1001</v>
      </c>
      <c r="G655" s="14">
        <v>46085</v>
      </c>
      <c r="H655" s="14">
        <v>46086</v>
      </c>
      <c r="I655">
        <v>2</v>
      </c>
      <c r="J655" s="15">
        <v>1293</v>
      </c>
      <c r="K655" s="16">
        <f t="shared" si="20"/>
        <v>1.2917082917082916</v>
      </c>
      <c r="L655" s="15">
        <v>1037</v>
      </c>
      <c r="M655" s="16">
        <f t="shared" si="21"/>
        <v>1.0359640359640359</v>
      </c>
      <c r="N655" t="s">
        <v>323</v>
      </c>
    </row>
    <row r="656" spans="1:14" x14ac:dyDescent="0.25">
      <c r="A656" t="s">
        <v>465</v>
      </c>
      <c r="B656" t="s">
        <v>502</v>
      </c>
      <c r="C656" t="s">
        <v>1167</v>
      </c>
      <c r="D656">
        <v>2</v>
      </c>
      <c r="E656">
        <v>2</v>
      </c>
      <c r="F656">
        <v>1011</v>
      </c>
      <c r="G656" s="14">
        <v>46044</v>
      </c>
      <c r="H656" s="14">
        <v>46086</v>
      </c>
      <c r="I656">
        <v>43</v>
      </c>
      <c r="J656" s="15">
        <v>1527</v>
      </c>
      <c r="K656" s="16">
        <f t="shared" si="20"/>
        <v>1.5103857566765579</v>
      </c>
      <c r="L656" s="15">
        <v>1310</v>
      </c>
      <c r="M656" s="16">
        <f t="shared" si="21"/>
        <v>1.2957467853610287</v>
      </c>
      <c r="N656" t="s">
        <v>323</v>
      </c>
    </row>
    <row r="657" spans="1:14" x14ac:dyDescent="0.25">
      <c r="A657" t="s">
        <v>486</v>
      </c>
      <c r="B657" t="s">
        <v>615</v>
      </c>
      <c r="C657" t="s">
        <v>1168</v>
      </c>
      <c r="D657">
        <v>2</v>
      </c>
      <c r="E657">
        <v>2</v>
      </c>
      <c r="F657">
        <v>1000</v>
      </c>
      <c r="G657" s="14">
        <v>45906</v>
      </c>
      <c r="H657" s="14">
        <v>46087</v>
      </c>
      <c r="I657">
        <v>182</v>
      </c>
      <c r="J657" s="15">
        <v>1386</v>
      </c>
      <c r="K657" s="16">
        <f t="shared" si="20"/>
        <v>1.3859999999999999</v>
      </c>
      <c r="L657" s="15">
        <v>1173</v>
      </c>
      <c r="M657" s="16">
        <f t="shared" si="21"/>
        <v>1.173</v>
      </c>
      <c r="N657" t="s">
        <v>323</v>
      </c>
    </row>
    <row r="658" spans="1:14" x14ac:dyDescent="0.25">
      <c r="A658" t="s">
        <v>457</v>
      </c>
      <c r="B658" t="s">
        <v>458</v>
      </c>
      <c r="C658" t="s">
        <v>1169</v>
      </c>
      <c r="D658">
        <v>1</v>
      </c>
      <c r="E658">
        <v>1</v>
      </c>
      <c r="F658">
        <v>762</v>
      </c>
      <c r="G658" s="14">
        <v>45743</v>
      </c>
      <c r="H658" s="14">
        <v>46087</v>
      </c>
      <c r="I658">
        <v>345</v>
      </c>
      <c r="J658" s="15">
        <v>1340</v>
      </c>
      <c r="K658" s="16">
        <f t="shared" si="20"/>
        <v>1.7585301837270342</v>
      </c>
      <c r="L658" s="15">
        <v>969</v>
      </c>
      <c r="M658" s="16">
        <f t="shared" si="21"/>
        <v>1.2716535433070866</v>
      </c>
      <c r="N658" t="s">
        <v>323</v>
      </c>
    </row>
    <row r="659" spans="1:14" x14ac:dyDescent="0.25">
      <c r="A659" t="s">
        <v>462</v>
      </c>
      <c r="B659" t="s">
        <v>475</v>
      </c>
      <c r="C659" t="s">
        <v>795</v>
      </c>
      <c r="D659">
        <v>2</v>
      </c>
      <c r="E659">
        <v>2</v>
      </c>
      <c r="F659">
        <v>1029</v>
      </c>
      <c r="G659" s="14">
        <v>46056</v>
      </c>
      <c r="H659" s="14">
        <v>46088</v>
      </c>
      <c r="I659">
        <v>33</v>
      </c>
      <c r="J659" s="15">
        <v>1800</v>
      </c>
      <c r="K659" s="16">
        <f t="shared" si="20"/>
        <v>1.749271137026239</v>
      </c>
      <c r="L659" s="15">
        <v>1350</v>
      </c>
      <c r="M659" s="16">
        <f t="shared" si="21"/>
        <v>1.3119533527696794</v>
      </c>
      <c r="N659" t="s">
        <v>323</v>
      </c>
    </row>
    <row r="660" spans="1:14" x14ac:dyDescent="0.25">
      <c r="A660" t="s">
        <v>457</v>
      </c>
      <c r="B660" t="s">
        <v>525</v>
      </c>
      <c r="C660" t="s">
        <v>1170</v>
      </c>
      <c r="D660">
        <v>2</v>
      </c>
      <c r="E660">
        <v>2</v>
      </c>
      <c r="F660">
        <v>1001</v>
      </c>
      <c r="G660" s="14">
        <v>45994</v>
      </c>
      <c r="H660" s="14">
        <v>46088</v>
      </c>
      <c r="I660">
        <v>95</v>
      </c>
      <c r="J660" s="15">
        <v>1486</v>
      </c>
      <c r="K660" s="16">
        <f t="shared" si="20"/>
        <v>1.4845154845154844</v>
      </c>
      <c r="L660" s="15">
        <v>1169</v>
      </c>
      <c r="M660" s="16">
        <f t="shared" si="21"/>
        <v>1.1678321678321679</v>
      </c>
      <c r="N660" t="s">
        <v>323</v>
      </c>
    </row>
    <row r="661" spans="1:14" x14ac:dyDescent="0.25">
      <c r="A661" t="s">
        <v>457</v>
      </c>
      <c r="B661" t="s">
        <v>523</v>
      </c>
      <c r="C661" t="s">
        <v>1171</v>
      </c>
      <c r="D661">
        <v>2</v>
      </c>
      <c r="E661">
        <v>2</v>
      </c>
      <c r="F661">
        <v>1001</v>
      </c>
      <c r="G661" s="14">
        <v>46055</v>
      </c>
      <c r="H661" s="14">
        <v>46089</v>
      </c>
      <c r="I661">
        <v>35</v>
      </c>
      <c r="J661" s="15">
        <v>1416</v>
      </c>
      <c r="K661" s="16">
        <f t="shared" si="20"/>
        <v>1.4145854145854146</v>
      </c>
      <c r="L661" s="15">
        <v>1089</v>
      </c>
      <c r="M661" s="16">
        <f t="shared" si="21"/>
        <v>1.0879120879120878</v>
      </c>
      <c r="N661" t="s">
        <v>323</v>
      </c>
    </row>
    <row r="662" spans="1:14" x14ac:dyDescent="0.25">
      <c r="A662" t="s">
        <v>465</v>
      </c>
      <c r="B662" t="s">
        <v>601</v>
      </c>
      <c r="C662" t="s">
        <v>1172</v>
      </c>
      <c r="D662">
        <v>2</v>
      </c>
      <c r="E662">
        <v>2</v>
      </c>
      <c r="F662">
        <v>1081</v>
      </c>
      <c r="G662" s="14">
        <v>46021</v>
      </c>
      <c r="H662" s="14">
        <v>46089</v>
      </c>
      <c r="I662">
        <v>69</v>
      </c>
      <c r="J662" s="15">
        <v>1577</v>
      </c>
      <c r="K662" s="16">
        <f t="shared" si="20"/>
        <v>1.4588344125809436</v>
      </c>
      <c r="L662" s="15">
        <v>1213</v>
      </c>
      <c r="M662" s="16">
        <f t="shared" si="21"/>
        <v>1.1221091581868641</v>
      </c>
      <c r="N662" t="s">
        <v>323</v>
      </c>
    </row>
    <row r="663" spans="1:14" x14ac:dyDescent="0.25">
      <c r="A663" t="s">
        <v>465</v>
      </c>
      <c r="B663" t="s">
        <v>984</v>
      </c>
      <c r="C663" t="s">
        <v>1173</v>
      </c>
      <c r="D663">
        <v>1</v>
      </c>
      <c r="E663">
        <v>1</v>
      </c>
      <c r="F663">
        <v>532</v>
      </c>
      <c r="G663" s="14">
        <v>46071</v>
      </c>
      <c r="H663" s="14">
        <v>46090</v>
      </c>
      <c r="I663">
        <v>20</v>
      </c>
      <c r="J663" s="15">
        <v>1186</v>
      </c>
      <c r="K663" s="16">
        <f t="shared" si="20"/>
        <v>2.2293233082706765</v>
      </c>
      <c r="L663" s="15">
        <v>912</v>
      </c>
      <c r="M663" s="16">
        <f t="shared" si="21"/>
        <v>1.7142857142857142</v>
      </c>
      <c r="N663" t="s">
        <v>323</v>
      </c>
    </row>
    <row r="664" spans="1:14" x14ac:dyDescent="0.25">
      <c r="A664" t="s">
        <v>451</v>
      </c>
      <c r="B664" t="s">
        <v>452</v>
      </c>
      <c r="C664" t="s">
        <v>1174</v>
      </c>
      <c r="D664">
        <v>2</v>
      </c>
      <c r="E664">
        <v>2</v>
      </c>
      <c r="F664">
        <v>903</v>
      </c>
      <c r="G664" s="14">
        <v>45950</v>
      </c>
      <c r="H664" s="14">
        <v>46091</v>
      </c>
      <c r="I664">
        <v>142</v>
      </c>
      <c r="J664" s="15">
        <v>1300</v>
      </c>
      <c r="K664" s="16">
        <f t="shared" si="20"/>
        <v>1.4396456256921373</v>
      </c>
      <c r="L664" s="15">
        <v>1300</v>
      </c>
      <c r="M664" s="16">
        <f t="shared" si="21"/>
        <v>1.4396456256921373</v>
      </c>
      <c r="N664" t="s">
        <v>323</v>
      </c>
    </row>
    <row r="665" spans="1:14" x14ac:dyDescent="0.25">
      <c r="A665" t="s">
        <v>477</v>
      </c>
      <c r="B665" t="s">
        <v>609</v>
      </c>
      <c r="C665" t="s">
        <v>1175</v>
      </c>
      <c r="D665">
        <v>2</v>
      </c>
      <c r="E665">
        <v>2</v>
      </c>
      <c r="F665">
        <v>1050</v>
      </c>
      <c r="G665" s="14">
        <v>45994</v>
      </c>
      <c r="H665" s="14">
        <v>46091</v>
      </c>
      <c r="I665">
        <v>98</v>
      </c>
      <c r="J665" s="15">
        <v>1217</v>
      </c>
      <c r="K665" s="16">
        <f t="shared" si="20"/>
        <v>1.1590476190476191</v>
      </c>
      <c r="L665" s="15">
        <v>1217</v>
      </c>
      <c r="M665" s="16">
        <f t="shared" si="21"/>
        <v>1.1590476190476191</v>
      </c>
      <c r="N665" t="s">
        <v>323</v>
      </c>
    </row>
    <row r="666" spans="1:14" x14ac:dyDescent="0.25">
      <c r="A666" t="s">
        <v>454</v>
      </c>
      <c r="B666" t="s">
        <v>481</v>
      </c>
      <c r="C666" t="s">
        <v>1176</v>
      </c>
      <c r="D666">
        <v>2</v>
      </c>
      <c r="E666">
        <v>2</v>
      </c>
      <c r="F666">
        <v>1001</v>
      </c>
      <c r="G666" s="14">
        <v>46086</v>
      </c>
      <c r="H666" s="14">
        <v>46091</v>
      </c>
      <c r="I666">
        <v>6</v>
      </c>
      <c r="J666" s="15">
        <v>1250</v>
      </c>
      <c r="K666" s="16">
        <f t="shared" si="20"/>
        <v>1.2487512487512487</v>
      </c>
      <c r="L666" s="15">
        <v>1250</v>
      </c>
      <c r="M666" s="16">
        <f t="shared" si="21"/>
        <v>1.2487512487512487</v>
      </c>
      <c r="N666" t="s">
        <v>323</v>
      </c>
    </row>
    <row r="667" spans="1:14" x14ac:dyDescent="0.25">
      <c r="A667" t="s">
        <v>457</v>
      </c>
      <c r="B667" t="s">
        <v>562</v>
      </c>
      <c r="C667" t="s">
        <v>1177</v>
      </c>
      <c r="D667">
        <v>2</v>
      </c>
      <c r="E667">
        <v>2</v>
      </c>
      <c r="F667">
        <v>1001</v>
      </c>
      <c r="G667" s="14">
        <v>46037</v>
      </c>
      <c r="H667" s="14">
        <v>46091</v>
      </c>
      <c r="I667">
        <v>55</v>
      </c>
      <c r="J667" s="15">
        <v>1401</v>
      </c>
      <c r="K667" s="16">
        <f t="shared" si="20"/>
        <v>1.3996003996003996</v>
      </c>
      <c r="L667" s="15">
        <v>1102</v>
      </c>
      <c r="M667" s="16">
        <f t="shared" si="21"/>
        <v>1.1008991008991009</v>
      </c>
      <c r="N667" t="s">
        <v>323</v>
      </c>
    </row>
    <row r="668" spans="1:14" x14ac:dyDescent="0.25">
      <c r="A668" t="s">
        <v>457</v>
      </c>
      <c r="B668" t="s">
        <v>525</v>
      </c>
      <c r="C668" t="s">
        <v>1178</v>
      </c>
      <c r="D668">
        <v>2</v>
      </c>
      <c r="E668">
        <v>2</v>
      </c>
      <c r="F668">
        <v>1001</v>
      </c>
      <c r="G668" s="14">
        <v>46088</v>
      </c>
      <c r="H668" s="14">
        <v>46091</v>
      </c>
      <c r="I668">
        <v>4</v>
      </c>
      <c r="J668" s="15">
        <v>1486</v>
      </c>
      <c r="K668" s="16">
        <f t="shared" si="20"/>
        <v>1.4845154845154844</v>
      </c>
      <c r="L668" s="15">
        <v>1143</v>
      </c>
      <c r="M668" s="16">
        <f t="shared" si="21"/>
        <v>1.1418581418581419</v>
      </c>
      <c r="N668" t="s">
        <v>323</v>
      </c>
    </row>
    <row r="669" spans="1:14" x14ac:dyDescent="0.25">
      <c r="A669" t="s">
        <v>454</v>
      </c>
      <c r="B669" t="s">
        <v>455</v>
      </c>
      <c r="C669" t="s">
        <v>1179</v>
      </c>
      <c r="D669">
        <v>2</v>
      </c>
      <c r="E669">
        <v>2</v>
      </c>
      <c r="F669">
        <v>1001</v>
      </c>
      <c r="G669" s="14">
        <v>46030</v>
      </c>
      <c r="H669" s="14">
        <v>46092</v>
      </c>
      <c r="I669">
        <v>63</v>
      </c>
      <c r="J669" s="15">
        <v>1275</v>
      </c>
      <c r="K669" s="16">
        <f t="shared" si="20"/>
        <v>1.2737262737262738</v>
      </c>
      <c r="L669" s="15">
        <v>1275</v>
      </c>
      <c r="M669" s="16">
        <f t="shared" si="21"/>
        <v>1.2737262737262738</v>
      </c>
      <c r="N669" t="s">
        <v>323</v>
      </c>
    </row>
    <row r="670" spans="1:14" x14ac:dyDescent="0.25">
      <c r="A670" t="s">
        <v>454</v>
      </c>
      <c r="B670" t="s">
        <v>1076</v>
      </c>
      <c r="D670">
        <v>2</v>
      </c>
      <c r="E670">
        <v>2</v>
      </c>
      <c r="F670">
        <v>1001</v>
      </c>
      <c r="G670" s="14">
        <v>45762</v>
      </c>
      <c r="H670" s="14">
        <v>46092</v>
      </c>
      <c r="I670">
        <v>331</v>
      </c>
      <c r="J670" s="15">
        <v>1275</v>
      </c>
      <c r="K670" s="16">
        <f t="shared" si="20"/>
        <v>1.2737262737262738</v>
      </c>
      <c r="L670" s="15">
        <v>1275</v>
      </c>
      <c r="M670" s="16">
        <f t="shared" si="21"/>
        <v>1.2737262737262738</v>
      </c>
      <c r="N670" t="s">
        <v>323</v>
      </c>
    </row>
    <row r="671" spans="1:14" x14ac:dyDescent="0.25">
      <c r="A671" t="s">
        <v>454</v>
      </c>
      <c r="B671" t="s">
        <v>1180</v>
      </c>
      <c r="C671" t="s">
        <v>1181</v>
      </c>
      <c r="D671">
        <v>2</v>
      </c>
      <c r="E671">
        <v>2</v>
      </c>
      <c r="F671">
        <v>1001</v>
      </c>
      <c r="G671" s="14">
        <v>45680</v>
      </c>
      <c r="H671" s="14">
        <v>46092</v>
      </c>
      <c r="I671">
        <v>413</v>
      </c>
      <c r="J671" s="15">
        <v>1415</v>
      </c>
      <c r="K671" s="16">
        <f t="shared" si="20"/>
        <v>1.4135864135864136</v>
      </c>
      <c r="L671" s="15">
        <v>1415</v>
      </c>
      <c r="M671" s="16">
        <f t="shared" si="21"/>
        <v>1.4135864135864136</v>
      </c>
      <c r="N671" t="s">
        <v>323</v>
      </c>
    </row>
    <row r="672" spans="1:14" x14ac:dyDescent="0.25">
      <c r="A672" t="s">
        <v>454</v>
      </c>
      <c r="B672" t="s">
        <v>905</v>
      </c>
      <c r="D672">
        <v>2</v>
      </c>
      <c r="E672">
        <v>2</v>
      </c>
      <c r="F672">
        <v>1001</v>
      </c>
      <c r="G672" s="14">
        <v>46030</v>
      </c>
      <c r="H672" s="14">
        <v>46092</v>
      </c>
      <c r="I672">
        <v>63</v>
      </c>
      <c r="J672" s="15">
        <v>1550</v>
      </c>
      <c r="K672" s="16">
        <f t="shared" si="20"/>
        <v>1.5484515484515484</v>
      </c>
      <c r="L672" s="15">
        <v>1550</v>
      </c>
      <c r="M672" s="16">
        <f t="shared" si="21"/>
        <v>1.5484515484515484</v>
      </c>
      <c r="N672" t="s">
        <v>323</v>
      </c>
    </row>
    <row r="673" spans="1:14" x14ac:dyDescent="0.25">
      <c r="A673" t="s">
        <v>454</v>
      </c>
      <c r="B673" t="s">
        <v>978</v>
      </c>
      <c r="D673">
        <v>3</v>
      </c>
      <c r="E673">
        <v>2</v>
      </c>
      <c r="F673">
        <v>1001</v>
      </c>
      <c r="G673" s="14">
        <v>46030</v>
      </c>
      <c r="H673" s="14">
        <v>46092</v>
      </c>
      <c r="I673">
        <v>63</v>
      </c>
      <c r="J673" s="15">
        <v>1290</v>
      </c>
      <c r="K673" s="16">
        <f t="shared" si="20"/>
        <v>1.2887112887112888</v>
      </c>
      <c r="L673" s="15">
        <v>1290</v>
      </c>
      <c r="M673" s="16">
        <f t="shared" si="21"/>
        <v>1.2887112887112888</v>
      </c>
      <c r="N673" t="s">
        <v>323</v>
      </c>
    </row>
    <row r="674" spans="1:14" x14ac:dyDescent="0.25">
      <c r="A674" t="s">
        <v>454</v>
      </c>
      <c r="B674" t="s">
        <v>938</v>
      </c>
      <c r="D674">
        <v>3</v>
      </c>
      <c r="E674">
        <v>2</v>
      </c>
      <c r="F674">
        <v>1001</v>
      </c>
      <c r="G674" s="14">
        <v>45735</v>
      </c>
      <c r="H674" s="14">
        <v>46092</v>
      </c>
      <c r="I674">
        <v>358</v>
      </c>
      <c r="J674" s="15">
        <v>1340</v>
      </c>
      <c r="K674" s="16">
        <f t="shared" si="20"/>
        <v>1.3386613386613386</v>
      </c>
      <c r="L674" s="15">
        <v>1340</v>
      </c>
      <c r="M674" s="16">
        <f t="shared" si="21"/>
        <v>1.3386613386613386</v>
      </c>
      <c r="N674" t="s">
        <v>323</v>
      </c>
    </row>
    <row r="675" spans="1:14" x14ac:dyDescent="0.25">
      <c r="A675" t="s">
        <v>454</v>
      </c>
      <c r="B675" t="s">
        <v>906</v>
      </c>
      <c r="D675">
        <v>3</v>
      </c>
      <c r="E675">
        <v>2</v>
      </c>
      <c r="F675">
        <v>1001</v>
      </c>
      <c r="G675" s="14">
        <v>46035</v>
      </c>
      <c r="H675" s="14">
        <v>46092</v>
      </c>
      <c r="I675">
        <v>58</v>
      </c>
      <c r="J675" s="15">
        <v>1415</v>
      </c>
      <c r="K675" s="16">
        <f t="shared" si="20"/>
        <v>1.4135864135864136</v>
      </c>
      <c r="L675" s="15">
        <v>1415</v>
      </c>
      <c r="M675" s="16">
        <f t="shared" si="21"/>
        <v>1.4135864135864136</v>
      </c>
      <c r="N675" t="s">
        <v>323</v>
      </c>
    </row>
    <row r="676" spans="1:14" x14ac:dyDescent="0.25">
      <c r="A676" t="s">
        <v>454</v>
      </c>
      <c r="B676" t="s">
        <v>1182</v>
      </c>
      <c r="D676">
        <v>3</v>
      </c>
      <c r="E676">
        <v>2</v>
      </c>
      <c r="F676">
        <v>1001</v>
      </c>
      <c r="G676" s="14">
        <v>45828</v>
      </c>
      <c r="H676" s="14">
        <v>46092</v>
      </c>
      <c r="I676">
        <v>265</v>
      </c>
      <c r="J676" s="15">
        <v>1500</v>
      </c>
      <c r="K676" s="16">
        <f t="shared" si="20"/>
        <v>1.4985014985014986</v>
      </c>
      <c r="L676" s="15">
        <v>1500</v>
      </c>
      <c r="M676" s="16">
        <f t="shared" si="21"/>
        <v>1.4985014985014986</v>
      </c>
      <c r="N676" t="s">
        <v>323</v>
      </c>
    </row>
    <row r="677" spans="1:14" x14ac:dyDescent="0.25">
      <c r="A677" t="s">
        <v>454</v>
      </c>
      <c r="B677" t="s">
        <v>1183</v>
      </c>
      <c r="D677">
        <v>3</v>
      </c>
      <c r="E677">
        <v>2</v>
      </c>
      <c r="F677">
        <v>1001</v>
      </c>
      <c r="G677" s="14">
        <v>45723</v>
      </c>
      <c r="H677" s="14">
        <v>46092</v>
      </c>
      <c r="I677">
        <v>370</v>
      </c>
      <c r="J677" s="15">
        <v>1615</v>
      </c>
      <c r="K677" s="16">
        <f t="shared" si="20"/>
        <v>1.6133866133866135</v>
      </c>
      <c r="L677" s="15">
        <v>1615</v>
      </c>
      <c r="M677" s="16">
        <f t="shared" si="21"/>
        <v>1.6133866133866135</v>
      </c>
      <c r="N677" t="s">
        <v>323</v>
      </c>
    </row>
    <row r="678" spans="1:14" x14ac:dyDescent="0.25">
      <c r="A678" t="s">
        <v>472</v>
      </c>
      <c r="B678" t="s">
        <v>473</v>
      </c>
      <c r="C678" t="s">
        <v>1184</v>
      </c>
      <c r="D678">
        <v>2</v>
      </c>
      <c r="E678">
        <v>1</v>
      </c>
      <c r="F678">
        <v>800</v>
      </c>
      <c r="G678" s="14">
        <v>45982</v>
      </c>
      <c r="H678" s="14">
        <v>46092</v>
      </c>
      <c r="I678">
        <v>111</v>
      </c>
      <c r="J678" s="15">
        <v>1353</v>
      </c>
      <c r="K678" s="16">
        <f t="shared" si="20"/>
        <v>1.6912499999999999</v>
      </c>
      <c r="L678" s="15">
        <v>1160</v>
      </c>
      <c r="M678" s="16">
        <f t="shared" si="21"/>
        <v>1.45</v>
      </c>
      <c r="N678" t="s">
        <v>323</v>
      </c>
    </row>
    <row r="679" spans="1:14" x14ac:dyDescent="0.25">
      <c r="A679" t="s">
        <v>472</v>
      </c>
      <c r="B679" t="s">
        <v>473</v>
      </c>
      <c r="C679" t="s">
        <v>1185</v>
      </c>
      <c r="D679">
        <v>2</v>
      </c>
      <c r="E679">
        <v>1</v>
      </c>
      <c r="F679">
        <v>800</v>
      </c>
      <c r="G679" s="14">
        <v>46036</v>
      </c>
      <c r="H679" s="14">
        <v>46092</v>
      </c>
      <c r="I679">
        <v>57</v>
      </c>
      <c r="J679" s="15">
        <v>1623</v>
      </c>
      <c r="K679" s="16">
        <f t="shared" si="20"/>
        <v>2.0287500000000001</v>
      </c>
      <c r="L679" s="15">
        <v>1391</v>
      </c>
      <c r="M679" s="16">
        <f t="shared" si="21"/>
        <v>1.73875</v>
      </c>
      <c r="N679" t="s">
        <v>323</v>
      </c>
    </row>
    <row r="680" spans="1:14" x14ac:dyDescent="0.25">
      <c r="A680" t="s">
        <v>465</v>
      </c>
      <c r="B680" t="s">
        <v>489</v>
      </c>
      <c r="C680" t="s">
        <v>1186</v>
      </c>
      <c r="D680">
        <v>1</v>
      </c>
      <c r="E680">
        <v>1</v>
      </c>
      <c r="F680">
        <v>532</v>
      </c>
      <c r="G680" s="14">
        <v>46074</v>
      </c>
      <c r="H680" s="14">
        <v>46092</v>
      </c>
      <c r="I680">
        <v>19</v>
      </c>
      <c r="J680" s="15">
        <v>1126</v>
      </c>
      <c r="K680" s="16">
        <f t="shared" si="20"/>
        <v>2.1165413533834587</v>
      </c>
      <c r="L680" s="15">
        <v>886</v>
      </c>
      <c r="M680" s="16">
        <f t="shared" si="21"/>
        <v>1.6654135338345866</v>
      </c>
      <c r="N680" t="s">
        <v>323</v>
      </c>
    </row>
    <row r="681" spans="1:14" x14ac:dyDescent="0.25">
      <c r="A681" t="s">
        <v>465</v>
      </c>
      <c r="B681" t="s">
        <v>502</v>
      </c>
      <c r="C681" t="s">
        <v>1187</v>
      </c>
      <c r="D681">
        <v>2</v>
      </c>
      <c r="E681">
        <v>2</v>
      </c>
      <c r="F681">
        <v>1011</v>
      </c>
      <c r="G681" s="14">
        <v>46049</v>
      </c>
      <c r="H681" s="14">
        <v>46092</v>
      </c>
      <c r="I681">
        <v>44</v>
      </c>
      <c r="J681" s="15">
        <v>1487</v>
      </c>
      <c r="K681" s="16">
        <f t="shared" si="20"/>
        <v>1.4708209693372898</v>
      </c>
      <c r="L681" s="15">
        <v>1170</v>
      </c>
      <c r="M681" s="16">
        <f t="shared" si="21"/>
        <v>1.1572700296735905</v>
      </c>
      <c r="N681" t="s">
        <v>323</v>
      </c>
    </row>
    <row r="682" spans="1:14" x14ac:dyDescent="0.25">
      <c r="A682" t="s">
        <v>486</v>
      </c>
      <c r="B682" t="s">
        <v>510</v>
      </c>
      <c r="C682" t="s">
        <v>1188</v>
      </c>
      <c r="D682">
        <v>1</v>
      </c>
      <c r="E682">
        <v>1</v>
      </c>
      <c r="F682">
        <v>650</v>
      </c>
      <c r="G682" s="14">
        <v>46066</v>
      </c>
      <c r="H682" s="14">
        <v>46093</v>
      </c>
      <c r="I682">
        <v>28</v>
      </c>
      <c r="J682" s="15">
        <v>1292</v>
      </c>
      <c r="K682" s="16">
        <f t="shared" si="20"/>
        <v>1.9876923076923076</v>
      </c>
      <c r="L682" s="15">
        <v>1093</v>
      </c>
      <c r="M682" s="16">
        <f t="shared" si="21"/>
        <v>1.6815384615384616</v>
      </c>
      <c r="N682" t="s">
        <v>323</v>
      </c>
    </row>
    <row r="683" spans="1:14" x14ac:dyDescent="0.25">
      <c r="A683" t="s">
        <v>465</v>
      </c>
      <c r="B683" t="s">
        <v>984</v>
      </c>
      <c r="C683" t="s">
        <v>1189</v>
      </c>
      <c r="D683">
        <v>1</v>
      </c>
      <c r="E683">
        <v>1</v>
      </c>
      <c r="F683">
        <v>532</v>
      </c>
      <c r="G683" s="14">
        <v>46092</v>
      </c>
      <c r="H683" s="14">
        <v>46093</v>
      </c>
      <c r="I683">
        <v>2</v>
      </c>
      <c r="J683" s="15">
        <v>1076</v>
      </c>
      <c r="K683" s="16">
        <f t="shared" si="20"/>
        <v>2.0225563909774436</v>
      </c>
      <c r="L683" s="15">
        <v>847</v>
      </c>
      <c r="M683" s="16">
        <f t="shared" si="21"/>
        <v>1.5921052631578947</v>
      </c>
      <c r="N683" t="s">
        <v>323</v>
      </c>
    </row>
    <row r="684" spans="1:14" x14ac:dyDescent="0.25">
      <c r="A684" t="s">
        <v>457</v>
      </c>
      <c r="B684" t="s">
        <v>523</v>
      </c>
      <c r="C684" t="s">
        <v>1190</v>
      </c>
      <c r="D684">
        <v>2</v>
      </c>
      <c r="E684">
        <v>2</v>
      </c>
      <c r="F684">
        <v>1001</v>
      </c>
      <c r="G684" s="14">
        <v>45913</v>
      </c>
      <c r="H684" s="14">
        <v>46094</v>
      </c>
      <c r="I684">
        <v>182</v>
      </c>
      <c r="J684" s="15">
        <v>1431</v>
      </c>
      <c r="K684" s="16">
        <f t="shared" si="20"/>
        <v>1.4295704295704297</v>
      </c>
      <c r="L684" s="15">
        <v>1126</v>
      </c>
      <c r="M684" s="16">
        <f t="shared" si="21"/>
        <v>1.124875124875125</v>
      </c>
      <c r="N684" t="s">
        <v>323</v>
      </c>
    </row>
    <row r="685" spans="1:14" x14ac:dyDescent="0.25">
      <c r="A685" t="s">
        <v>477</v>
      </c>
      <c r="B685" t="s">
        <v>609</v>
      </c>
      <c r="C685" t="s">
        <v>1191</v>
      </c>
      <c r="D685">
        <v>2</v>
      </c>
      <c r="E685">
        <v>2</v>
      </c>
      <c r="F685">
        <v>1050</v>
      </c>
      <c r="G685" s="14">
        <v>45981</v>
      </c>
      <c r="H685" s="14">
        <v>46095</v>
      </c>
      <c r="I685">
        <v>115</v>
      </c>
      <c r="J685" s="15">
        <v>1217</v>
      </c>
      <c r="K685" s="16">
        <f t="shared" si="20"/>
        <v>1.1590476190476191</v>
      </c>
      <c r="L685" s="15">
        <v>1217</v>
      </c>
      <c r="M685" s="16">
        <f t="shared" si="21"/>
        <v>1.1590476190476191</v>
      </c>
      <c r="N685" t="s">
        <v>323</v>
      </c>
    </row>
    <row r="686" spans="1:14" x14ac:dyDescent="0.25">
      <c r="A686" t="s">
        <v>462</v>
      </c>
      <c r="B686" t="s">
        <v>463</v>
      </c>
      <c r="C686" t="s">
        <v>1192</v>
      </c>
      <c r="D686">
        <v>2</v>
      </c>
      <c r="E686">
        <v>2</v>
      </c>
      <c r="F686">
        <v>958</v>
      </c>
      <c r="G686" s="14">
        <v>46070</v>
      </c>
      <c r="H686" s="14">
        <v>46095</v>
      </c>
      <c r="I686">
        <v>26</v>
      </c>
      <c r="J686" s="15">
        <v>1650</v>
      </c>
      <c r="K686" s="16">
        <f t="shared" si="20"/>
        <v>1.7223382045929019</v>
      </c>
      <c r="L686" s="15">
        <v>1238</v>
      </c>
      <c r="M686" s="16">
        <f t="shared" si="21"/>
        <v>1.292275574112735</v>
      </c>
      <c r="N686" t="s">
        <v>323</v>
      </c>
    </row>
    <row r="687" spans="1:14" x14ac:dyDescent="0.25">
      <c r="A687" t="s">
        <v>472</v>
      </c>
      <c r="B687" t="s">
        <v>473</v>
      </c>
      <c r="C687" t="s">
        <v>1193</v>
      </c>
      <c r="D687">
        <v>2</v>
      </c>
      <c r="E687">
        <v>1</v>
      </c>
      <c r="F687">
        <v>800</v>
      </c>
      <c r="G687" s="14">
        <v>45927</v>
      </c>
      <c r="H687" s="14">
        <v>46095</v>
      </c>
      <c r="I687">
        <v>169</v>
      </c>
      <c r="J687" s="15">
        <v>1248</v>
      </c>
      <c r="K687" s="16">
        <f t="shared" si="20"/>
        <v>1.56</v>
      </c>
      <c r="L687" s="15">
        <v>1070</v>
      </c>
      <c r="M687" s="16">
        <f t="shared" si="21"/>
        <v>1.3374999999999999</v>
      </c>
      <c r="N687" t="s">
        <v>323</v>
      </c>
    </row>
    <row r="688" spans="1:14" x14ac:dyDescent="0.25">
      <c r="A688" t="s">
        <v>472</v>
      </c>
      <c r="B688" t="s">
        <v>473</v>
      </c>
      <c r="C688" t="s">
        <v>1194</v>
      </c>
      <c r="D688">
        <v>2</v>
      </c>
      <c r="E688">
        <v>1</v>
      </c>
      <c r="F688">
        <v>800</v>
      </c>
      <c r="G688" s="14">
        <v>46063</v>
      </c>
      <c r="H688" s="14">
        <v>46095</v>
      </c>
      <c r="I688">
        <v>33</v>
      </c>
      <c r="J688" s="15">
        <v>1498</v>
      </c>
      <c r="K688" s="16">
        <f t="shared" si="20"/>
        <v>1.8725000000000001</v>
      </c>
      <c r="L688" s="15">
        <v>1248</v>
      </c>
      <c r="M688" s="16">
        <f t="shared" si="21"/>
        <v>1.56</v>
      </c>
      <c r="N688" t="s">
        <v>323</v>
      </c>
    </row>
    <row r="689" spans="1:14" x14ac:dyDescent="0.25">
      <c r="A689" t="s">
        <v>486</v>
      </c>
      <c r="B689" t="s">
        <v>521</v>
      </c>
      <c r="C689" t="s">
        <v>1195</v>
      </c>
      <c r="D689">
        <v>2</v>
      </c>
      <c r="E689">
        <v>2</v>
      </c>
      <c r="F689">
        <v>1000</v>
      </c>
      <c r="G689" s="14">
        <v>46034</v>
      </c>
      <c r="H689" s="14">
        <v>46095</v>
      </c>
      <c r="I689">
        <v>62</v>
      </c>
      <c r="J689" s="15">
        <v>1441</v>
      </c>
      <c r="K689" s="16">
        <f t="shared" si="20"/>
        <v>1.4410000000000001</v>
      </c>
      <c r="L689" s="15">
        <v>1219</v>
      </c>
      <c r="M689" s="16">
        <f t="shared" si="21"/>
        <v>1.2190000000000001</v>
      </c>
      <c r="N689" t="s">
        <v>323</v>
      </c>
    </row>
    <row r="690" spans="1:14" x14ac:dyDescent="0.25">
      <c r="A690" t="s">
        <v>472</v>
      </c>
      <c r="B690" t="s">
        <v>496</v>
      </c>
      <c r="C690" t="s">
        <v>1196</v>
      </c>
      <c r="D690">
        <v>1</v>
      </c>
      <c r="E690">
        <v>1</v>
      </c>
      <c r="F690">
        <v>625</v>
      </c>
      <c r="G690" s="14">
        <v>46058</v>
      </c>
      <c r="H690" s="14">
        <v>46096</v>
      </c>
      <c r="I690">
        <v>39</v>
      </c>
      <c r="J690" s="15">
        <v>1398</v>
      </c>
      <c r="K690" s="16">
        <f t="shared" si="20"/>
        <v>2.2368000000000001</v>
      </c>
      <c r="L690" s="15">
        <v>1198</v>
      </c>
      <c r="M690" s="16">
        <f t="shared" si="21"/>
        <v>1.9168000000000001</v>
      </c>
      <c r="N690" t="s">
        <v>323</v>
      </c>
    </row>
    <row r="691" spans="1:14" x14ac:dyDescent="0.25">
      <c r="A691" t="s">
        <v>477</v>
      </c>
      <c r="B691" t="s">
        <v>587</v>
      </c>
      <c r="C691" t="s">
        <v>1197</v>
      </c>
      <c r="D691">
        <v>3</v>
      </c>
      <c r="E691">
        <v>2</v>
      </c>
      <c r="F691">
        <v>1244</v>
      </c>
      <c r="G691" s="14">
        <v>46031</v>
      </c>
      <c r="H691" s="14">
        <v>46097</v>
      </c>
      <c r="I691">
        <v>67</v>
      </c>
      <c r="J691" s="15">
        <v>1396</v>
      </c>
      <c r="K691" s="16">
        <f t="shared" si="20"/>
        <v>1.1221864951768488</v>
      </c>
      <c r="L691" s="15">
        <v>1396</v>
      </c>
      <c r="M691" s="16">
        <f t="shared" si="21"/>
        <v>1.1221864951768488</v>
      </c>
      <c r="N691" t="s">
        <v>323</v>
      </c>
    </row>
    <row r="692" spans="1:14" x14ac:dyDescent="0.25">
      <c r="A692" t="s">
        <v>486</v>
      </c>
      <c r="B692" t="s">
        <v>659</v>
      </c>
      <c r="C692" t="s">
        <v>1198</v>
      </c>
      <c r="D692">
        <v>2</v>
      </c>
      <c r="E692">
        <v>1</v>
      </c>
      <c r="F692">
        <v>860</v>
      </c>
      <c r="G692" s="14">
        <v>45995</v>
      </c>
      <c r="H692" s="14">
        <v>46097</v>
      </c>
      <c r="I692">
        <v>103</v>
      </c>
      <c r="J692" s="15">
        <v>1382</v>
      </c>
      <c r="K692" s="16">
        <f t="shared" si="20"/>
        <v>1.6069767441860465</v>
      </c>
      <c r="L692" s="15">
        <v>1169</v>
      </c>
      <c r="M692" s="16">
        <f t="shared" si="21"/>
        <v>1.3593023255813954</v>
      </c>
      <c r="N692" t="s">
        <v>323</v>
      </c>
    </row>
    <row r="693" spans="1:14" x14ac:dyDescent="0.25">
      <c r="A693" t="s">
        <v>477</v>
      </c>
      <c r="B693" t="s">
        <v>609</v>
      </c>
      <c r="C693" t="s">
        <v>1199</v>
      </c>
      <c r="D693">
        <v>2</v>
      </c>
      <c r="E693">
        <v>2</v>
      </c>
      <c r="F693">
        <v>1050</v>
      </c>
      <c r="G693" s="14">
        <v>46084</v>
      </c>
      <c r="H693" s="14">
        <v>46098</v>
      </c>
      <c r="I693">
        <v>15</v>
      </c>
      <c r="J693" s="15">
        <v>1217</v>
      </c>
      <c r="K693" s="16">
        <f t="shared" si="20"/>
        <v>1.1590476190476191</v>
      </c>
      <c r="L693" s="15">
        <v>1217</v>
      </c>
      <c r="M693" s="16">
        <f t="shared" si="21"/>
        <v>1.1590476190476191</v>
      </c>
      <c r="N693" t="s">
        <v>323</v>
      </c>
    </row>
    <row r="694" spans="1:14" x14ac:dyDescent="0.25">
      <c r="A694" t="s">
        <v>486</v>
      </c>
      <c r="B694" t="s">
        <v>521</v>
      </c>
      <c r="C694" t="s">
        <v>1200</v>
      </c>
      <c r="D694">
        <v>2</v>
      </c>
      <c r="E694">
        <v>2</v>
      </c>
      <c r="F694">
        <v>1000</v>
      </c>
      <c r="G694" s="14">
        <v>46049</v>
      </c>
      <c r="H694" s="14">
        <v>46098</v>
      </c>
      <c r="I694">
        <v>50</v>
      </c>
      <c r="J694" s="15">
        <v>1466</v>
      </c>
      <c r="K694" s="16">
        <f t="shared" si="20"/>
        <v>1.466</v>
      </c>
      <c r="L694" s="15">
        <v>1240</v>
      </c>
      <c r="M694" s="16">
        <f t="shared" si="21"/>
        <v>1.24</v>
      </c>
      <c r="N694" t="s">
        <v>323</v>
      </c>
    </row>
    <row r="695" spans="1:14" x14ac:dyDescent="0.25">
      <c r="A695" t="s">
        <v>477</v>
      </c>
      <c r="B695" t="s">
        <v>609</v>
      </c>
      <c r="C695" t="s">
        <v>1201</v>
      </c>
      <c r="D695">
        <v>2</v>
      </c>
      <c r="E695">
        <v>2</v>
      </c>
      <c r="F695">
        <v>1050</v>
      </c>
      <c r="G695" s="14">
        <v>46064</v>
      </c>
      <c r="H695" s="14">
        <v>46099</v>
      </c>
      <c r="I695">
        <v>36</v>
      </c>
      <c r="J695" s="15">
        <v>1217</v>
      </c>
      <c r="K695" s="16">
        <f t="shared" si="20"/>
        <v>1.1590476190476191</v>
      </c>
      <c r="L695" s="15">
        <v>1217</v>
      </c>
      <c r="M695" s="16">
        <f t="shared" si="21"/>
        <v>1.1590476190476191</v>
      </c>
      <c r="N695" t="s">
        <v>323</v>
      </c>
    </row>
    <row r="696" spans="1:14" x14ac:dyDescent="0.25">
      <c r="A696" t="s">
        <v>472</v>
      </c>
      <c r="B696" t="s">
        <v>496</v>
      </c>
      <c r="C696" t="s">
        <v>1202</v>
      </c>
      <c r="D696">
        <v>1</v>
      </c>
      <c r="E696">
        <v>1</v>
      </c>
      <c r="F696">
        <v>625</v>
      </c>
      <c r="G696" s="14">
        <v>46039</v>
      </c>
      <c r="H696" s="14">
        <v>46099</v>
      </c>
      <c r="I696">
        <v>61</v>
      </c>
      <c r="J696" s="15">
        <v>1468</v>
      </c>
      <c r="K696" s="16">
        <f t="shared" si="20"/>
        <v>2.3488000000000002</v>
      </c>
      <c r="L696" s="15">
        <v>1258</v>
      </c>
      <c r="M696" s="16">
        <f t="shared" si="21"/>
        <v>2.0127999999999999</v>
      </c>
      <c r="N696" t="s">
        <v>323</v>
      </c>
    </row>
    <row r="697" spans="1:14" x14ac:dyDescent="0.25">
      <c r="A697" t="s">
        <v>465</v>
      </c>
      <c r="B697" t="s">
        <v>984</v>
      </c>
      <c r="C697" t="s">
        <v>1203</v>
      </c>
      <c r="D697">
        <v>1</v>
      </c>
      <c r="E697">
        <v>1</v>
      </c>
      <c r="F697">
        <v>532</v>
      </c>
      <c r="G697" s="14">
        <v>46085</v>
      </c>
      <c r="H697" s="14">
        <v>46099</v>
      </c>
      <c r="I697">
        <v>15</v>
      </c>
      <c r="J697" s="15">
        <v>1196</v>
      </c>
      <c r="K697" s="16">
        <f t="shared" si="20"/>
        <v>2.2481203007518795</v>
      </c>
      <c r="L697" s="15">
        <v>920</v>
      </c>
      <c r="M697" s="16">
        <f t="shared" si="21"/>
        <v>1.7293233082706767</v>
      </c>
      <c r="N697" t="s">
        <v>323</v>
      </c>
    </row>
    <row r="698" spans="1:14" x14ac:dyDescent="0.25">
      <c r="A698" t="s">
        <v>472</v>
      </c>
      <c r="B698" t="s">
        <v>473</v>
      </c>
      <c r="C698" t="s">
        <v>1204</v>
      </c>
      <c r="D698">
        <v>2</v>
      </c>
      <c r="E698">
        <v>1</v>
      </c>
      <c r="F698">
        <v>800</v>
      </c>
      <c r="G698" s="14">
        <v>45937</v>
      </c>
      <c r="H698" s="14">
        <v>46101</v>
      </c>
      <c r="I698">
        <v>165</v>
      </c>
      <c r="J698" s="15">
        <v>1348</v>
      </c>
      <c r="K698" s="16">
        <f t="shared" si="20"/>
        <v>1.6850000000000001</v>
      </c>
      <c r="L698" s="15">
        <v>1155</v>
      </c>
      <c r="M698" s="16">
        <f t="shared" si="21"/>
        <v>1.4437500000000001</v>
      </c>
      <c r="N698" t="s">
        <v>323</v>
      </c>
    </row>
    <row r="699" spans="1:14" x14ac:dyDescent="0.25">
      <c r="A699" t="s">
        <v>472</v>
      </c>
      <c r="B699" t="s">
        <v>473</v>
      </c>
      <c r="C699" t="s">
        <v>1205</v>
      </c>
      <c r="D699">
        <v>2</v>
      </c>
      <c r="E699">
        <v>1</v>
      </c>
      <c r="F699">
        <v>800</v>
      </c>
      <c r="G699" s="14">
        <v>46037</v>
      </c>
      <c r="H699" s="14">
        <v>46101</v>
      </c>
      <c r="I699">
        <v>65</v>
      </c>
      <c r="J699" s="15">
        <v>1833</v>
      </c>
      <c r="K699" s="16">
        <f t="shared" si="20"/>
        <v>2.2912499999999998</v>
      </c>
      <c r="L699" s="15">
        <v>1571</v>
      </c>
      <c r="M699" s="16">
        <f t="shared" si="21"/>
        <v>1.9637500000000001</v>
      </c>
      <c r="N699" t="s">
        <v>323</v>
      </c>
    </row>
    <row r="700" spans="1:14" x14ac:dyDescent="0.25">
      <c r="A700" t="s">
        <v>454</v>
      </c>
      <c r="B700" t="s">
        <v>776</v>
      </c>
      <c r="C700" t="s">
        <v>1206</v>
      </c>
      <c r="D700">
        <v>3</v>
      </c>
      <c r="E700">
        <v>2</v>
      </c>
      <c r="F700">
        <v>1103</v>
      </c>
      <c r="G700" s="14">
        <v>46099</v>
      </c>
      <c r="H700" s="14">
        <v>46102</v>
      </c>
      <c r="I700">
        <v>4</v>
      </c>
      <c r="J700" s="15">
        <v>1550</v>
      </c>
      <c r="K700" s="16">
        <f t="shared" si="20"/>
        <v>1.4052583862194017</v>
      </c>
      <c r="L700" s="15">
        <v>1550</v>
      </c>
      <c r="M700" s="16">
        <f t="shared" si="21"/>
        <v>1.4052583862194017</v>
      </c>
      <c r="N700" t="s">
        <v>323</v>
      </c>
    </row>
    <row r="701" spans="1:14" x14ac:dyDescent="0.25">
      <c r="A701" t="s">
        <v>465</v>
      </c>
      <c r="B701" t="s">
        <v>551</v>
      </c>
      <c r="C701" t="s">
        <v>1207</v>
      </c>
      <c r="D701">
        <v>1</v>
      </c>
      <c r="E701">
        <v>1</v>
      </c>
      <c r="F701">
        <v>757</v>
      </c>
      <c r="G701" s="14">
        <v>46054</v>
      </c>
      <c r="H701" s="14">
        <v>46103</v>
      </c>
      <c r="I701">
        <v>50</v>
      </c>
      <c r="J701" s="15">
        <v>1301</v>
      </c>
      <c r="K701" s="16">
        <f t="shared" si="20"/>
        <v>1.7186261558784677</v>
      </c>
      <c r="L701" s="15">
        <v>1024</v>
      </c>
      <c r="M701" s="16">
        <f t="shared" si="21"/>
        <v>1.3527080581241744</v>
      </c>
      <c r="N701" t="s">
        <v>323</v>
      </c>
    </row>
    <row r="702" spans="1:14" x14ac:dyDescent="0.25">
      <c r="A702" t="s">
        <v>486</v>
      </c>
      <c r="B702" t="s">
        <v>581</v>
      </c>
      <c r="C702" t="s">
        <v>1208</v>
      </c>
      <c r="D702">
        <v>1</v>
      </c>
      <c r="E702">
        <v>1</v>
      </c>
      <c r="F702">
        <v>650</v>
      </c>
      <c r="G702" s="14">
        <v>45986</v>
      </c>
      <c r="H702" s="14">
        <v>46104</v>
      </c>
      <c r="I702">
        <v>119</v>
      </c>
      <c r="J702" s="15">
        <v>1184</v>
      </c>
      <c r="K702" s="16">
        <f t="shared" si="20"/>
        <v>1.8215384615384616</v>
      </c>
      <c r="L702" s="15">
        <v>1002</v>
      </c>
      <c r="M702" s="16">
        <f t="shared" si="21"/>
        <v>1.5415384615384615</v>
      </c>
      <c r="N702" t="s">
        <v>323</v>
      </c>
    </row>
    <row r="703" spans="1:14" x14ac:dyDescent="0.25">
      <c r="A703" t="s">
        <v>457</v>
      </c>
      <c r="B703" t="s">
        <v>633</v>
      </c>
      <c r="C703" t="s">
        <v>1209</v>
      </c>
      <c r="D703">
        <v>1</v>
      </c>
      <c r="E703">
        <v>1</v>
      </c>
      <c r="F703">
        <v>541</v>
      </c>
      <c r="G703" s="14">
        <v>46099</v>
      </c>
      <c r="H703" s="14">
        <v>46104</v>
      </c>
      <c r="I703">
        <v>6</v>
      </c>
      <c r="J703" s="15">
        <v>1052</v>
      </c>
      <c r="K703" s="16">
        <f t="shared" si="20"/>
        <v>1.944547134935305</v>
      </c>
      <c r="L703" s="15">
        <v>828</v>
      </c>
      <c r="M703" s="16">
        <f t="shared" si="21"/>
        <v>1.5304990757855823</v>
      </c>
      <c r="N703" t="s">
        <v>323</v>
      </c>
    </row>
    <row r="704" spans="1:14" x14ac:dyDescent="0.25">
      <c r="A704" t="s">
        <v>457</v>
      </c>
      <c r="B704" t="s">
        <v>525</v>
      </c>
      <c r="C704" t="s">
        <v>1210</v>
      </c>
      <c r="D704">
        <v>2</v>
      </c>
      <c r="E704">
        <v>2</v>
      </c>
      <c r="F704">
        <v>1001</v>
      </c>
      <c r="G704" s="14">
        <v>46079</v>
      </c>
      <c r="H704" s="14">
        <v>46104</v>
      </c>
      <c r="I704">
        <v>26</v>
      </c>
      <c r="J704" s="15">
        <v>1471</v>
      </c>
      <c r="K704" s="16">
        <f t="shared" si="20"/>
        <v>1.4695304695304696</v>
      </c>
      <c r="L704" s="15">
        <v>1131</v>
      </c>
      <c r="M704" s="16">
        <f t="shared" si="21"/>
        <v>1.1298701298701299</v>
      </c>
      <c r="N704" t="s">
        <v>323</v>
      </c>
    </row>
    <row r="705" spans="1:14" x14ac:dyDescent="0.25">
      <c r="A705" t="s">
        <v>462</v>
      </c>
      <c r="B705" t="s">
        <v>470</v>
      </c>
      <c r="C705" t="s">
        <v>1211</v>
      </c>
      <c r="D705">
        <v>1</v>
      </c>
      <c r="E705">
        <v>1</v>
      </c>
      <c r="F705">
        <v>732</v>
      </c>
      <c r="G705" s="14">
        <v>45547</v>
      </c>
      <c r="H705" s="14">
        <v>46105</v>
      </c>
      <c r="I705">
        <v>559</v>
      </c>
      <c r="J705" s="15">
        <v>1450</v>
      </c>
      <c r="K705" s="16">
        <f t="shared" si="20"/>
        <v>1.9808743169398908</v>
      </c>
      <c r="L705" s="15">
        <v>1088</v>
      </c>
      <c r="M705" s="16">
        <f t="shared" si="21"/>
        <v>1.4863387978142077</v>
      </c>
      <c r="N705" t="s">
        <v>323</v>
      </c>
    </row>
    <row r="706" spans="1:14" x14ac:dyDescent="0.25">
      <c r="A706" t="s">
        <v>486</v>
      </c>
      <c r="B706" t="s">
        <v>510</v>
      </c>
      <c r="C706" t="s">
        <v>1212</v>
      </c>
      <c r="D706">
        <v>1</v>
      </c>
      <c r="E706">
        <v>1</v>
      </c>
      <c r="F706">
        <v>650</v>
      </c>
      <c r="G706" s="14">
        <v>45993</v>
      </c>
      <c r="H706" s="14">
        <v>46105</v>
      </c>
      <c r="I706">
        <v>113</v>
      </c>
      <c r="J706" s="15">
        <v>1284</v>
      </c>
      <c r="K706" s="16">
        <f t="shared" ref="K706:K769" si="22">IFERROR(J706/F706,0)</f>
        <v>1.9753846153846153</v>
      </c>
      <c r="L706" s="15">
        <v>1102</v>
      </c>
      <c r="M706" s="16">
        <f t="shared" ref="M706:M769" si="23">IFERROR(L706/F706,0)</f>
        <v>1.6953846153846155</v>
      </c>
      <c r="N706" t="s">
        <v>323</v>
      </c>
    </row>
    <row r="707" spans="1:14" x14ac:dyDescent="0.25">
      <c r="A707" t="s">
        <v>465</v>
      </c>
      <c r="B707" t="s">
        <v>601</v>
      </c>
      <c r="C707" t="s">
        <v>1213</v>
      </c>
      <c r="D707">
        <v>2</v>
      </c>
      <c r="E707">
        <v>2</v>
      </c>
      <c r="F707">
        <v>1081</v>
      </c>
      <c r="G707" s="14">
        <v>46084</v>
      </c>
      <c r="H707" s="14">
        <v>46105</v>
      </c>
      <c r="I707">
        <v>22</v>
      </c>
      <c r="J707" s="15">
        <v>1467</v>
      </c>
      <c r="K707" s="16">
        <f t="shared" si="22"/>
        <v>1.3570767807585569</v>
      </c>
      <c r="L707" s="15">
        <v>1128</v>
      </c>
      <c r="M707" s="16">
        <f t="shared" si="23"/>
        <v>1.0434782608695652</v>
      </c>
      <c r="N707" t="s">
        <v>323</v>
      </c>
    </row>
    <row r="708" spans="1:14" x14ac:dyDescent="0.25">
      <c r="A708" t="s">
        <v>465</v>
      </c>
      <c r="B708" t="s">
        <v>593</v>
      </c>
      <c r="C708" t="s">
        <v>1214</v>
      </c>
      <c r="D708">
        <v>3</v>
      </c>
      <c r="E708">
        <v>2</v>
      </c>
      <c r="F708">
        <v>1181</v>
      </c>
      <c r="G708" s="14">
        <v>46028</v>
      </c>
      <c r="H708" s="14">
        <v>46105</v>
      </c>
      <c r="I708">
        <v>78</v>
      </c>
      <c r="J708" s="15">
        <v>1989</v>
      </c>
      <c r="K708" s="16">
        <f t="shared" si="22"/>
        <v>1.6841659610499577</v>
      </c>
      <c r="L708" s="15">
        <v>1530</v>
      </c>
      <c r="M708" s="16">
        <f t="shared" si="23"/>
        <v>1.2955122777307366</v>
      </c>
      <c r="N708" t="s">
        <v>323</v>
      </c>
    </row>
    <row r="709" spans="1:14" x14ac:dyDescent="0.25">
      <c r="A709" t="s">
        <v>477</v>
      </c>
      <c r="B709" t="s">
        <v>478</v>
      </c>
      <c r="C709" t="s">
        <v>1215</v>
      </c>
      <c r="D709">
        <v>1</v>
      </c>
      <c r="E709">
        <v>1</v>
      </c>
      <c r="F709">
        <v>771</v>
      </c>
      <c r="G709" s="14">
        <v>46091</v>
      </c>
      <c r="H709" s="14">
        <v>46106</v>
      </c>
      <c r="I709">
        <v>16</v>
      </c>
      <c r="J709" s="15">
        <v>1031</v>
      </c>
      <c r="K709" s="16">
        <f t="shared" si="22"/>
        <v>1.3372243839169908</v>
      </c>
      <c r="L709" s="15">
        <v>1031</v>
      </c>
      <c r="M709" s="16">
        <f t="shared" si="23"/>
        <v>1.3372243839169908</v>
      </c>
      <c r="N709" t="s">
        <v>323</v>
      </c>
    </row>
    <row r="710" spans="1:14" x14ac:dyDescent="0.25">
      <c r="A710" t="s">
        <v>454</v>
      </c>
      <c r="B710" t="s">
        <v>481</v>
      </c>
      <c r="C710" t="s">
        <v>1216</v>
      </c>
      <c r="D710">
        <v>2</v>
      </c>
      <c r="E710">
        <v>2</v>
      </c>
      <c r="F710">
        <v>1001</v>
      </c>
      <c r="G710" s="14">
        <v>46098</v>
      </c>
      <c r="H710" s="14">
        <v>46106</v>
      </c>
      <c r="I710">
        <v>9</v>
      </c>
      <c r="J710" s="15">
        <v>1250</v>
      </c>
      <c r="K710" s="16">
        <f t="shared" si="22"/>
        <v>1.2487512487512487</v>
      </c>
      <c r="L710" s="15">
        <v>1250</v>
      </c>
      <c r="M710" s="16">
        <f t="shared" si="23"/>
        <v>1.2487512487512487</v>
      </c>
      <c r="N710" t="s">
        <v>323</v>
      </c>
    </row>
    <row r="711" spans="1:14" x14ac:dyDescent="0.25">
      <c r="A711" t="s">
        <v>454</v>
      </c>
      <c r="B711" t="s">
        <v>481</v>
      </c>
      <c r="C711" t="s">
        <v>1217</v>
      </c>
      <c r="D711">
        <v>2</v>
      </c>
      <c r="E711">
        <v>2</v>
      </c>
      <c r="F711">
        <v>1001</v>
      </c>
      <c r="G711" s="14">
        <v>46030</v>
      </c>
      <c r="H711" s="14">
        <v>46106</v>
      </c>
      <c r="I711">
        <v>77</v>
      </c>
      <c r="J711" s="15">
        <v>1250</v>
      </c>
      <c r="K711" s="16">
        <f t="shared" si="22"/>
        <v>1.2487512487512487</v>
      </c>
      <c r="L711" s="15">
        <v>1250</v>
      </c>
      <c r="M711" s="16">
        <f t="shared" si="23"/>
        <v>1.2487512487512487</v>
      </c>
      <c r="N711" t="s">
        <v>323</v>
      </c>
    </row>
    <row r="712" spans="1:14" x14ac:dyDescent="0.25">
      <c r="A712" t="s">
        <v>454</v>
      </c>
      <c r="B712" t="s">
        <v>455</v>
      </c>
      <c r="C712" t="s">
        <v>1218</v>
      </c>
      <c r="D712">
        <v>2</v>
      </c>
      <c r="E712">
        <v>2</v>
      </c>
      <c r="F712">
        <v>1001</v>
      </c>
      <c r="G712" s="14">
        <v>46098</v>
      </c>
      <c r="H712" s="14">
        <v>46106</v>
      </c>
      <c r="I712">
        <v>9</v>
      </c>
      <c r="J712" s="15">
        <v>1275</v>
      </c>
      <c r="K712" s="16">
        <f t="shared" si="22"/>
        <v>1.2737262737262738</v>
      </c>
      <c r="L712" s="15">
        <v>1275</v>
      </c>
      <c r="M712" s="16">
        <f t="shared" si="23"/>
        <v>1.2737262737262738</v>
      </c>
      <c r="N712" t="s">
        <v>323</v>
      </c>
    </row>
    <row r="713" spans="1:14" x14ac:dyDescent="0.25">
      <c r="A713" t="s">
        <v>472</v>
      </c>
      <c r="B713" t="s">
        <v>473</v>
      </c>
      <c r="C713" t="s">
        <v>1219</v>
      </c>
      <c r="D713">
        <v>2</v>
      </c>
      <c r="E713">
        <v>1</v>
      </c>
      <c r="F713">
        <v>800</v>
      </c>
      <c r="G713" s="14">
        <v>46057</v>
      </c>
      <c r="H713" s="14">
        <v>46106</v>
      </c>
      <c r="I713">
        <v>50</v>
      </c>
      <c r="J713" s="15">
        <v>1348</v>
      </c>
      <c r="K713" s="16">
        <f t="shared" si="22"/>
        <v>1.6850000000000001</v>
      </c>
      <c r="L713" s="15">
        <v>1155</v>
      </c>
      <c r="M713" s="16">
        <f t="shared" si="23"/>
        <v>1.4437500000000001</v>
      </c>
      <c r="N713" t="s">
        <v>323</v>
      </c>
    </row>
    <row r="714" spans="1:14" x14ac:dyDescent="0.25">
      <c r="A714" t="s">
        <v>486</v>
      </c>
      <c r="B714" t="s">
        <v>615</v>
      </c>
      <c r="C714" t="s">
        <v>1220</v>
      </c>
      <c r="D714">
        <v>2</v>
      </c>
      <c r="E714">
        <v>2</v>
      </c>
      <c r="F714">
        <v>1000</v>
      </c>
      <c r="G714" s="14">
        <v>46002</v>
      </c>
      <c r="H714" s="14">
        <v>46106</v>
      </c>
      <c r="I714">
        <v>105</v>
      </c>
      <c r="J714" s="15">
        <v>1372</v>
      </c>
      <c r="K714" s="16">
        <f t="shared" si="22"/>
        <v>1.3720000000000001</v>
      </c>
      <c r="L714" s="15">
        <v>1161</v>
      </c>
      <c r="M714" s="16">
        <f t="shared" si="23"/>
        <v>1.161</v>
      </c>
      <c r="N714" t="s">
        <v>323</v>
      </c>
    </row>
    <row r="715" spans="1:14" x14ac:dyDescent="0.25">
      <c r="A715" t="s">
        <v>477</v>
      </c>
      <c r="B715" t="s">
        <v>609</v>
      </c>
      <c r="C715" t="s">
        <v>1221</v>
      </c>
      <c r="D715">
        <v>2</v>
      </c>
      <c r="E715">
        <v>2</v>
      </c>
      <c r="F715">
        <v>1050</v>
      </c>
      <c r="G715" s="14">
        <v>46007</v>
      </c>
      <c r="H715" s="14">
        <v>46108</v>
      </c>
      <c r="I715">
        <v>102</v>
      </c>
      <c r="J715" s="15">
        <v>1217</v>
      </c>
      <c r="K715" s="16">
        <f t="shared" si="22"/>
        <v>1.1590476190476191</v>
      </c>
      <c r="L715" s="15">
        <v>1217</v>
      </c>
      <c r="M715" s="16">
        <f t="shared" si="23"/>
        <v>1.1590476190476191</v>
      </c>
      <c r="N715" t="s">
        <v>323</v>
      </c>
    </row>
    <row r="716" spans="1:14" x14ac:dyDescent="0.25">
      <c r="A716" t="s">
        <v>472</v>
      </c>
      <c r="B716" t="s">
        <v>676</v>
      </c>
      <c r="C716" t="s">
        <v>1222</v>
      </c>
      <c r="D716">
        <v>3</v>
      </c>
      <c r="E716">
        <v>2</v>
      </c>
      <c r="F716">
        <v>1000</v>
      </c>
      <c r="G716" s="14">
        <v>46023</v>
      </c>
      <c r="H716" s="14">
        <v>46108</v>
      </c>
      <c r="I716">
        <v>86</v>
      </c>
      <c r="J716" s="15">
        <v>2150</v>
      </c>
      <c r="K716" s="16">
        <f t="shared" si="22"/>
        <v>2.15</v>
      </c>
      <c r="L716" s="15">
        <v>1843</v>
      </c>
      <c r="M716" s="16">
        <f t="shared" si="23"/>
        <v>1.843</v>
      </c>
      <c r="N716" t="s">
        <v>323</v>
      </c>
    </row>
    <row r="717" spans="1:14" x14ac:dyDescent="0.25">
      <c r="A717" t="s">
        <v>486</v>
      </c>
      <c r="B717" t="s">
        <v>521</v>
      </c>
      <c r="C717" t="s">
        <v>1223</v>
      </c>
      <c r="D717">
        <v>2</v>
      </c>
      <c r="E717">
        <v>2</v>
      </c>
      <c r="F717">
        <v>1000</v>
      </c>
      <c r="G717" s="14">
        <v>46080</v>
      </c>
      <c r="H717" s="14">
        <v>46108</v>
      </c>
      <c r="I717">
        <v>29</v>
      </c>
      <c r="J717" s="15">
        <v>1437</v>
      </c>
      <c r="K717" s="16">
        <f t="shared" si="22"/>
        <v>1.4370000000000001</v>
      </c>
      <c r="L717" s="15">
        <v>1216</v>
      </c>
      <c r="M717" s="16">
        <f t="shared" si="23"/>
        <v>1.216</v>
      </c>
      <c r="N717" t="s">
        <v>323</v>
      </c>
    </row>
    <row r="718" spans="1:14" x14ac:dyDescent="0.25">
      <c r="A718" t="s">
        <v>457</v>
      </c>
      <c r="B718" t="s">
        <v>562</v>
      </c>
      <c r="C718" t="s">
        <v>1224</v>
      </c>
      <c r="D718">
        <v>2</v>
      </c>
      <c r="E718">
        <v>2</v>
      </c>
      <c r="F718">
        <v>1001</v>
      </c>
      <c r="G718" s="14">
        <v>46003</v>
      </c>
      <c r="H718" s="14">
        <v>46108</v>
      </c>
      <c r="I718">
        <v>106</v>
      </c>
      <c r="J718" s="15">
        <v>1361</v>
      </c>
      <c r="K718" s="16">
        <f t="shared" si="22"/>
        <v>1.3596403596403597</v>
      </c>
      <c r="L718" s="15">
        <v>1047</v>
      </c>
      <c r="M718" s="16">
        <f t="shared" si="23"/>
        <v>1.045954045954046</v>
      </c>
      <c r="N718" t="s">
        <v>323</v>
      </c>
    </row>
    <row r="719" spans="1:14" x14ac:dyDescent="0.25">
      <c r="A719" t="s">
        <v>457</v>
      </c>
      <c r="B719" t="s">
        <v>458</v>
      </c>
      <c r="C719" t="s">
        <v>1225</v>
      </c>
      <c r="D719">
        <v>1</v>
      </c>
      <c r="E719">
        <v>1</v>
      </c>
      <c r="F719">
        <v>762</v>
      </c>
      <c r="G719" s="14">
        <v>45814</v>
      </c>
      <c r="H719" s="14">
        <v>46109</v>
      </c>
      <c r="I719">
        <v>296</v>
      </c>
      <c r="J719" s="15">
        <v>1352</v>
      </c>
      <c r="K719" s="16">
        <f t="shared" si="22"/>
        <v>1.7742782152230971</v>
      </c>
      <c r="L719" s="15">
        <v>1102</v>
      </c>
      <c r="M719" s="16">
        <f t="shared" si="23"/>
        <v>1.4461942257217848</v>
      </c>
      <c r="N719" t="s">
        <v>323</v>
      </c>
    </row>
    <row r="720" spans="1:14" x14ac:dyDescent="0.25">
      <c r="A720" t="s">
        <v>457</v>
      </c>
      <c r="B720" t="s">
        <v>562</v>
      </c>
      <c r="C720" t="s">
        <v>1226</v>
      </c>
      <c r="D720">
        <v>2</v>
      </c>
      <c r="E720">
        <v>2</v>
      </c>
      <c r="F720">
        <v>1001</v>
      </c>
      <c r="G720" s="14">
        <v>46035</v>
      </c>
      <c r="H720" s="14">
        <v>46111</v>
      </c>
      <c r="I720">
        <v>77</v>
      </c>
      <c r="J720" s="15">
        <v>1361</v>
      </c>
      <c r="K720" s="16">
        <f t="shared" si="22"/>
        <v>1.3596403596403597</v>
      </c>
      <c r="L720" s="15">
        <v>1071</v>
      </c>
      <c r="M720" s="16">
        <f t="shared" si="23"/>
        <v>1.06993006993007</v>
      </c>
      <c r="N720" t="s">
        <v>323</v>
      </c>
    </row>
    <row r="721" spans="1:14" x14ac:dyDescent="0.25">
      <c r="A721" t="s">
        <v>465</v>
      </c>
      <c r="B721" t="s">
        <v>567</v>
      </c>
      <c r="C721" t="s">
        <v>1227</v>
      </c>
      <c r="D721">
        <v>1</v>
      </c>
      <c r="E721">
        <v>1</v>
      </c>
      <c r="F721">
        <v>757</v>
      </c>
      <c r="G721" s="14">
        <v>45926</v>
      </c>
      <c r="H721" s="14">
        <v>46111</v>
      </c>
      <c r="I721">
        <v>186</v>
      </c>
      <c r="J721" s="15">
        <v>1266</v>
      </c>
      <c r="K721" s="16">
        <f t="shared" si="22"/>
        <v>1.6723910171730516</v>
      </c>
      <c r="L721" s="15">
        <v>974</v>
      </c>
      <c r="M721" s="16">
        <f t="shared" si="23"/>
        <v>1.2866578599735798</v>
      </c>
      <c r="N721" t="s">
        <v>323</v>
      </c>
    </row>
    <row r="722" spans="1:14" x14ac:dyDescent="0.25">
      <c r="A722" t="s">
        <v>451</v>
      </c>
      <c r="B722" t="s">
        <v>533</v>
      </c>
      <c r="C722" t="s">
        <v>1228</v>
      </c>
      <c r="D722">
        <v>1</v>
      </c>
      <c r="E722">
        <v>1</v>
      </c>
      <c r="F722">
        <v>600</v>
      </c>
      <c r="G722" s="14">
        <v>45876</v>
      </c>
      <c r="H722" s="14">
        <v>46112</v>
      </c>
      <c r="I722">
        <v>237</v>
      </c>
      <c r="J722" s="15">
        <v>1100</v>
      </c>
      <c r="K722" s="16">
        <f t="shared" si="22"/>
        <v>1.8333333333333333</v>
      </c>
      <c r="L722" s="15">
        <v>1100</v>
      </c>
      <c r="M722" s="16">
        <f t="shared" si="23"/>
        <v>1.8333333333333333</v>
      </c>
      <c r="N722" t="s">
        <v>323</v>
      </c>
    </row>
    <row r="723" spans="1:14" x14ac:dyDescent="0.25">
      <c r="A723" t="s">
        <v>462</v>
      </c>
      <c r="B723" t="s">
        <v>470</v>
      </c>
      <c r="C723" t="s">
        <v>1229</v>
      </c>
      <c r="D723">
        <v>1</v>
      </c>
      <c r="E723">
        <v>1</v>
      </c>
      <c r="F723">
        <v>732</v>
      </c>
      <c r="G723" s="14">
        <v>45997</v>
      </c>
      <c r="H723" s="14">
        <v>46112</v>
      </c>
      <c r="I723">
        <v>116</v>
      </c>
      <c r="J723" s="15">
        <v>1550</v>
      </c>
      <c r="K723" s="16">
        <f t="shared" si="22"/>
        <v>2.1174863387978142</v>
      </c>
      <c r="L723" s="15">
        <v>1162</v>
      </c>
      <c r="M723" s="16">
        <f t="shared" si="23"/>
        <v>1.5874316939890711</v>
      </c>
      <c r="N723" t="s">
        <v>323</v>
      </c>
    </row>
    <row r="724" spans="1:14" x14ac:dyDescent="0.25">
      <c r="A724" t="s">
        <v>462</v>
      </c>
      <c r="B724" t="s">
        <v>507</v>
      </c>
      <c r="C724" t="s">
        <v>1230</v>
      </c>
      <c r="D724">
        <v>3</v>
      </c>
      <c r="E724">
        <v>2</v>
      </c>
      <c r="F724">
        <v>1345</v>
      </c>
      <c r="G724" s="14">
        <v>45835</v>
      </c>
      <c r="H724" s="14">
        <v>46112</v>
      </c>
      <c r="I724">
        <v>278</v>
      </c>
      <c r="J724" s="15">
        <v>2350</v>
      </c>
      <c r="K724" s="16">
        <f t="shared" si="22"/>
        <v>1.7472118959107807</v>
      </c>
      <c r="L724" s="15">
        <v>1762</v>
      </c>
      <c r="M724" s="16">
        <f t="shared" si="23"/>
        <v>1.3100371747211896</v>
      </c>
      <c r="N724" t="s">
        <v>323</v>
      </c>
    </row>
    <row r="725" spans="1:14" x14ac:dyDescent="0.25">
      <c r="A725" t="s">
        <v>472</v>
      </c>
      <c r="B725" t="s">
        <v>473</v>
      </c>
      <c r="C725" t="s">
        <v>1231</v>
      </c>
      <c r="D725">
        <v>2</v>
      </c>
      <c r="E725">
        <v>1</v>
      </c>
      <c r="F725">
        <v>800</v>
      </c>
      <c r="G725" s="14">
        <v>46070</v>
      </c>
      <c r="H725" s="14">
        <v>46112</v>
      </c>
      <c r="I725">
        <v>43</v>
      </c>
      <c r="J725" s="15">
        <v>1598</v>
      </c>
      <c r="K725" s="16">
        <f t="shared" si="22"/>
        <v>1.9975000000000001</v>
      </c>
      <c r="L725" s="15">
        <v>1370</v>
      </c>
      <c r="M725" s="16">
        <f t="shared" si="23"/>
        <v>1.7124999999999999</v>
      </c>
      <c r="N725" t="s">
        <v>323</v>
      </c>
    </row>
    <row r="726" spans="1:14" x14ac:dyDescent="0.25">
      <c r="A726" t="s">
        <v>457</v>
      </c>
      <c r="B726" t="s">
        <v>1037</v>
      </c>
      <c r="C726" t="s">
        <v>1232</v>
      </c>
      <c r="D726">
        <v>1</v>
      </c>
      <c r="E726">
        <v>1</v>
      </c>
      <c r="F726">
        <v>541</v>
      </c>
      <c r="G726" s="14">
        <v>46068</v>
      </c>
      <c r="H726" s="14">
        <v>46112</v>
      </c>
      <c r="I726">
        <v>45</v>
      </c>
      <c r="J726" s="15">
        <v>1137</v>
      </c>
      <c r="K726" s="16">
        <f t="shared" si="22"/>
        <v>2.101663585951941</v>
      </c>
      <c r="L726" s="15">
        <v>874</v>
      </c>
      <c r="M726" s="16">
        <f t="shared" si="23"/>
        <v>1.6155268022181146</v>
      </c>
      <c r="N726" t="s">
        <v>323</v>
      </c>
    </row>
    <row r="727" spans="1:14" x14ac:dyDescent="0.25">
      <c r="A727" t="s">
        <v>457</v>
      </c>
      <c r="B727" t="s">
        <v>1037</v>
      </c>
      <c r="C727" t="s">
        <v>1233</v>
      </c>
      <c r="D727">
        <v>1</v>
      </c>
      <c r="E727">
        <v>1</v>
      </c>
      <c r="F727">
        <v>541</v>
      </c>
      <c r="G727" s="14">
        <v>46088</v>
      </c>
      <c r="H727" s="14">
        <v>46112</v>
      </c>
      <c r="I727">
        <v>25</v>
      </c>
      <c r="J727" s="15">
        <v>1137</v>
      </c>
      <c r="K727" s="16">
        <f t="shared" si="22"/>
        <v>2.101663585951941</v>
      </c>
      <c r="L727" s="15">
        <v>895</v>
      </c>
      <c r="M727" s="16">
        <f t="shared" si="23"/>
        <v>1.6543438077634012</v>
      </c>
      <c r="N727" t="s">
        <v>323</v>
      </c>
    </row>
    <row r="728" spans="1:14" x14ac:dyDescent="0.25">
      <c r="A728" t="s">
        <v>462</v>
      </c>
      <c r="B728" t="s">
        <v>470</v>
      </c>
      <c r="C728" t="s">
        <v>1234</v>
      </c>
      <c r="D728">
        <v>1</v>
      </c>
      <c r="E728">
        <v>1</v>
      </c>
      <c r="F728">
        <v>732</v>
      </c>
      <c r="G728" s="14">
        <v>45945</v>
      </c>
      <c r="H728" s="14">
        <v>46113</v>
      </c>
      <c r="I728">
        <v>169</v>
      </c>
      <c r="J728" s="15">
        <v>1450</v>
      </c>
      <c r="K728" s="16">
        <f t="shared" si="22"/>
        <v>1.9808743169398908</v>
      </c>
      <c r="L728" s="15">
        <v>1088</v>
      </c>
      <c r="M728" s="16">
        <f t="shared" si="23"/>
        <v>1.4863387978142077</v>
      </c>
      <c r="N728" t="s">
        <v>376</v>
      </c>
    </row>
    <row r="729" spans="1:14" x14ac:dyDescent="0.25">
      <c r="A729" t="s">
        <v>454</v>
      </c>
      <c r="B729" t="s">
        <v>455</v>
      </c>
      <c r="C729" t="s">
        <v>1235</v>
      </c>
      <c r="D729">
        <v>2</v>
      </c>
      <c r="E729">
        <v>2</v>
      </c>
      <c r="F729">
        <v>1001</v>
      </c>
      <c r="G729" s="14">
        <v>46098</v>
      </c>
      <c r="H729" s="14">
        <v>46113</v>
      </c>
      <c r="I729">
        <v>16</v>
      </c>
      <c r="J729" s="15">
        <v>1300</v>
      </c>
      <c r="K729" s="16">
        <f t="shared" si="22"/>
        <v>1.2987012987012987</v>
      </c>
      <c r="L729" s="15">
        <v>1300</v>
      </c>
      <c r="M729" s="16">
        <f t="shared" si="23"/>
        <v>1.2987012987012987</v>
      </c>
      <c r="N729" t="s">
        <v>376</v>
      </c>
    </row>
    <row r="730" spans="1:14" x14ac:dyDescent="0.25">
      <c r="A730" t="s">
        <v>462</v>
      </c>
      <c r="B730" t="s">
        <v>470</v>
      </c>
      <c r="C730" t="s">
        <v>1236</v>
      </c>
      <c r="D730">
        <v>1</v>
      </c>
      <c r="E730">
        <v>1</v>
      </c>
      <c r="F730">
        <v>732</v>
      </c>
      <c r="G730" s="14">
        <v>45934</v>
      </c>
      <c r="H730" s="14">
        <v>46114</v>
      </c>
      <c r="I730">
        <v>181</v>
      </c>
      <c r="J730" s="15">
        <v>1450</v>
      </c>
      <c r="K730" s="16">
        <f t="shared" si="22"/>
        <v>1.9808743169398908</v>
      </c>
      <c r="L730" s="15">
        <v>1088</v>
      </c>
      <c r="M730" s="16">
        <f t="shared" si="23"/>
        <v>1.4863387978142077</v>
      </c>
      <c r="N730" t="s">
        <v>376</v>
      </c>
    </row>
    <row r="731" spans="1:14" x14ac:dyDescent="0.25">
      <c r="A731" t="s">
        <v>462</v>
      </c>
      <c r="B731" t="s">
        <v>463</v>
      </c>
      <c r="C731" t="s">
        <v>1237</v>
      </c>
      <c r="D731">
        <v>2</v>
      </c>
      <c r="E731">
        <v>2</v>
      </c>
      <c r="F731">
        <v>958</v>
      </c>
      <c r="G731" s="14">
        <v>46099</v>
      </c>
      <c r="H731" s="14">
        <v>46114</v>
      </c>
      <c r="I731">
        <v>16</v>
      </c>
      <c r="J731" s="15">
        <v>1650</v>
      </c>
      <c r="K731" s="16">
        <f t="shared" si="22"/>
        <v>1.7223382045929019</v>
      </c>
      <c r="L731" s="15">
        <v>1238</v>
      </c>
      <c r="M731" s="16">
        <f t="shared" si="23"/>
        <v>1.292275574112735</v>
      </c>
      <c r="N731" t="s">
        <v>376</v>
      </c>
    </row>
    <row r="732" spans="1:14" x14ac:dyDescent="0.25">
      <c r="A732" t="s">
        <v>454</v>
      </c>
      <c r="B732" t="s">
        <v>455</v>
      </c>
      <c r="C732" t="s">
        <v>1238</v>
      </c>
      <c r="D732">
        <v>2</v>
      </c>
      <c r="E732">
        <v>2</v>
      </c>
      <c r="F732">
        <v>1001</v>
      </c>
      <c r="G732" s="14">
        <v>46106</v>
      </c>
      <c r="H732" s="14">
        <v>46116</v>
      </c>
      <c r="I732">
        <v>11</v>
      </c>
      <c r="J732" s="15">
        <v>1300</v>
      </c>
      <c r="K732" s="16">
        <f t="shared" si="22"/>
        <v>1.2987012987012987</v>
      </c>
      <c r="L732" s="15">
        <v>1300</v>
      </c>
      <c r="M732" s="16">
        <f t="shared" si="23"/>
        <v>1.2987012987012987</v>
      </c>
      <c r="N732" t="s">
        <v>376</v>
      </c>
    </row>
    <row r="733" spans="1:14" x14ac:dyDescent="0.25">
      <c r="A733" t="s">
        <v>451</v>
      </c>
      <c r="B733" t="s">
        <v>452</v>
      </c>
      <c r="C733" t="s">
        <v>1239</v>
      </c>
      <c r="D733">
        <v>2</v>
      </c>
      <c r="E733">
        <v>2</v>
      </c>
      <c r="F733">
        <v>903</v>
      </c>
      <c r="G733" s="14">
        <v>45966</v>
      </c>
      <c r="H733" s="14">
        <v>46117</v>
      </c>
      <c r="I733">
        <v>152</v>
      </c>
      <c r="J733" s="15">
        <v>1300</v>
      </c>
      <c r="K733" s="16">
        <f t="shared" si="22"/>
        <v>1.4396456256921373</v>
      </c>
      <c r="L733" s="15">
        <v>1192</v>
      </c>
      <c r="M733" s="16">
        <f t="shared" si="23"/>
        <v>1.3200442967884829</v>
      </c>
      <c r="N733" t="s">
        <v>376</v>
      </c>
    </row>
    <row r="734" spans="1:14" x14ac:dyDescent="0.25">
      <c r="A734" t="s">
        <v>472</v>
      </c>
      <c r="B734" t="s">
        <v>473</v>
      </c>
      <c r="C734" t="s">
        <v>1240</v>
      </c>
      <c r="D734">
        <v>2</v>
      </c>
      <c r="E734">
        <v>1</v>
      </c>
      <c r="F734">
        <v>800</v>
      </c>
      <c r="G734" s="14">
        <v>45981</v>
      </c>
      <c r="H734" s="14">
        <v>46117</v>
      </c>
      <c r="I734">
        <v>137</v>
      </c>
      <c r="J734" s="15">
        <v>1623</v>
      </c>
      <c r="K734" s="16">
        <f t="shared" si="22"/>
        <v>2.0287500000000001</v>
      </c>
      <c r="L734" s="15">
        <v>1623</v>
      </c>
      <c r="M734" s="16">
        <f t="shared" si="23"/>
        <v>2.0287500000000001</v>
      </c>
      <c r="N734" t="s">
        <v>376</v>
      </c>
    </row>
    <row r="735" spans="1:14" x14ac:dyDescent="0.25">
      <c r="A735" t="s">
        <v>451</v>
      </c>
      <c r="B735" t="s">
        <v>452</v>
      </c>
      <c r="C735" t="s">
        <v>1241</v>
      </c>
      <c r="D735">
        <v>2</v>
      </c>
      <c r="E735">
        <v>2</v>
      </c>
      <c r="F735">
        <v>903</v>
      </c>
      <c r="G735" s="14">
        <v>45940</v>
      </c>
      <c r="H735" s="14">
        <v>46119</v>
      </c>
      <c r="I735">
        <v>180</v>
      </c>
      <c r="J735" s="15">
        <v>1300</v>
      </c>
      <c r="K735" s="16">
        <f t="shared" si="22"/>
        <v>1.4396456256921373</v>
      </c>
      <c r="L735" s="15">
        <v>1192</v>
      </c>
      <c r="M735" s="16">
        <f t="shared" si="23"/>
        <v>1.3200442967884829</v>
      </c>
      <c r="N735" t="s">
        <v>376</v>
      </c>
    </row>
    <row r="736" spans="1:14" x14ac:dyDescent="0.25">
      <c r="A736" t="s">
        <v>462</v>
      </c>
      <c r="B736" t="s">
        <v>470</v>
      </c>
      <c r="C736" t="s">
        <v>1242</v>
      </c>
      <c r="D736">
        <v>1</v>
      </c>
      <c r="E736">
        <v>1</v>
      </c>
      <c r="F736">
        <v>732</v>
      </c>
      <c r="G736" s="14">
        <v>45811</v>
      </c>
      <c r="H736" s="14">
        <v>46119</v>
      </c>
      <c r="I736">
        <v>309</v>
      </c>
      <c r="J736" s="15">
        <v>1550</v>
      </c>
      <c r="K736" s="16">
        <f t="shared" si="22"/>
        <v>2.1174863387978142</v>
      </c>
      <c r="L736" s="15">
        <v>1162</v>
      </c>
      <c r="M736" s="16">
        <f t="shared" si="23"/>
        <v>1.5874316939890711</v>
      </c>
      <c r="N736" t="s">
        <v>376</v>
      </c>
    </row>
    <row r="737" spans="1:14" x14ac:dyDescent="0.25">
      <c r="A737" t="s">
        <v>462</v>
      </c>
      <c r="B737" t="s">
        <v>463</v>
      </c>
      <c r="C737" t="s">
        <v>1243</v>
      </c>
      <c r="D737">
        <v>2</v>
      </c>
      <c r="E737">
        <v>2</v>
      </c>
      <c r="F737">
        <v>958</v>
      </c>
      <c r="G737" s="14">
        <v>46044</v>
      </c>
      <c r="H737" s="14">
        <v>46119</v>
      </c>
      <c r="I737">
        <v>76</v>
      </c>
      <c r="J737" s="15">
        <v>1750</v>
      </c>
      <c r="K737" s="16">
        <f t="shared" si="22"/>
        <v>1.826722338204593</v>
      </c>
      <c r="L737" s="15">
        <v>1312</v>
      </c>
      <c r="M737" s="16">
        <f t="shared" si="23"/>
        <v>1.3695198329853862</v>
      </c>
      <c r="N737" t="s">
        <v>376</v>
      </c>
    </row>
    <row r="738" spans="1:14" x14ac:dyDescent="0.25">
      <c r="A738" t="s">
        <v>454</v>
      </c>
      <c r="B738" t="s">
        <v>481</v>
      </c>
      <c r="C738" t="s">
        <v>1244</v>
      </c>
      <c r="D738">
        <v>2</v>
      </c>
      <c r="E738">
        <v>2</v>
      </c>
      <c r="F738">
        <v>1001</v>
      </c>
      <c r="G738" s="14">
        <v>46106</v>
      </c>
      <c r="H738" s="14">
        <v>46119</v>
      </c>
      <c r="I738">
        <v>14</v>
      </c>
      <c r="J738" s="15">
        <v>1275</v>
      </c>
      <c r="K738" s="16">
        <f t="shared" si="22"/>
        <v>1.2737262737262738</v>
      </c>
      <c r="L738" s="15">
        <v>1275</v>
      </c>
      <c r="M738" s="16">
        <f t="shared" si="23"/>
        <v>1.2737262737262738</v>
      </c>
      <c r="N738" t="s">
        <v>376</v>
      </c>
    </row>
    <row r="739" spans="1:14" x14ac:dyDescent="0.25">
      <c r="A739" t="s">
        <v>486</v>
      </c>
      <c r="B739" t="s">
        <v>591</v>
      </c>
      <c r="C739" t="s">
        <v>1245</v>
      </c>
      <c r="D739">
        <v>2</v>
      </c>
      <c r="E739">
        <v>1</v>
      </c>
      <c r="F739">
        <v>860</v>
      </c>
      <c r="G739" s="14">
        <v>46114</v>
      </c>
      <c r="H739" s="14">
        <v>46119</v>
      </c>
      <c r="I739">
        <v>6</v>
      </c>
      <c r="J739" s="15">
        <v>1457</v>
      </c>
      <c r="K739" s="16">
        <f t="shared" si="22"/>
        <v>1.6941860465116279</v>
      </c>
      <c r="L739" s="15">
        <v>1233</v>
      </c>
      <c r="M739" s="16">
        <f t="shared" si="23"/>
        <v>1.4337209302325582</v>
      </c>
      <c r="N739" t="s">
        <v>376</v>
      </c>
    </row>
    <row r="740" spans="1:14" x14ac:dyDescent="0.25">
      <c r="A740" t="s">
        <v>465</v>
      </c>
      <c r="B740" t="s">
        <v>567</v>
      </c>
      <c r="C740" t="s">
        <v>1246</v>
      </c>
      <c r="D740">
        <v>1</v>
      </c>
      <c r="E740">
        <v>1</v>
      </c>
      <c r="F740">
        <v>757</v>
      </c>
      <c r="G740" s="14">
        <v>46091</v>
      </c>
      <c r="H740" s="14">
        <v>46119</v>
      </c>
      <c r="I740">
        <v>29</v>
      </c>
      <c r="J740" s="15">
        <v>1186</v>
      </c>
      <c r="K740" s="16">
        <f t="shared" si="22"/>
        <v>1.5667107001321003</v>
      </c>
      <c r="L740" s="15">
        <v>933</v>
      </c>
      <c r="M740" s="16">
        <f t="shared" si="23"/>
        <v>1.2324966974900924</v>
      </c>
      <c r="N740" t="s">
        <v>376</v>
      </c>
    </row>
    <row r="741" spans="1:14" x14ac:dyDescent="0.25">
      <c r="A741" t="s">
        <v>462</v>
      </c>
      <c r="B741" t="s">
        <v>470</v>
      </c>
      <c r="C741" t="s">
        <v>1247</v>
      </c>
      <c r="D741">
        <v>1</v>
      </c>
      <c r="E741">
        <v>1</v>
      </c>
      <c r="F741">
        <v>732</v>
      </c>
      <c r="G741" s="14">
        <v>46095</v>
      </c>
      <c r="H741" s="14">
        <v>46120</v>
      </c>
      <c r="I741">
        <v>26</v>
      </c>
      <c r="J741" s="15">
        <v>1600</v>
      </c>
      <c r="K741" s="16">
        <f t="shared" si="22"/>
        <v>2.1857923497267762</v>
      </c>
      <c r="L741" s="15">
        <v>1200</v>
      </c>
      <c r="M741" s="16">
        <f t="shared" si="23"/>
        <v>1.639344262295082</v>
      </c>
      <c r="N741" t="s">
        <v>376</v>
      </c>
    </row>
    <row r="742" spans="1:14" x14ac:dyDescent="0.25">
      <c r="A742" t="s">
        <v>462</v>
      </c>
      <c r="B742" t="s">
        <v>470</v>
      </c>
      <c r="C742" t="s">
        <v>850</v>
      </c>
      <c r="D742">
        <v>1</v>
      </c>
      <c r="E742">
        <v>1</v>
      </c>
      <c r="F742">
        <v>732</v>
      </c>
      <c r="G742" s="14">
        <v>46088</v>
      </c>
      <c r="H742" s="14">
        <v>46120</v>
      </c>
      <c r="I742">
        <v>33</v>
      </c>
      <c r="J742" s="15">
        <v>1650</v>
      </c>
      <c r="K742" s="16">
        <f t="shared" si="22"/>
        <v>2.2540983606557377</v>
      </c>
      <c r="L742" s="15">
        <v>1238</v>
      </c>
      <c r="M742" s="16">
        <f t="shared" si="23"/>
        <v>1.6912568306010929</v>
      </c>
      <c r="N742" t="s">
        <v>376</v>
      </c>
    </row>
    <row r="743" spans="1:14" x14ac:dyDescent="0.25">
      <c r="A743" t="s">
        <v>457</v>
      </c>
      <c r="B743" t="s">
        <v>1037</v>
      </c>
      <c r="C743" t="s">
        <v>1248</v>
      </c>
      <c r="D743">
        <v>1</v>
      </c>
      <c r="E743">
        <v>1</v>
      </c>
      <c r="F743">
        <v>541</v>
      </c>
      <c r="G743" s="14">
        <v>46056</v>
      </c>
      <c r="H743" s="14">
        <v>46121</v>
      </c>
      <c r="I743">
        <v>66</v>
      </c>
      <c r="J743" s="15">
        <v>1152</v>
      </c>
      <c r="K743" s="16">
        <f t="shared" si="22"/>
        <v>2.1293900184842882</v>
      </c>
      <c r="L743" s="15">
        <v>939</v>
      </c>
      <c r="M743" s="16">
        <f t="shared" si="23"/>
        <v>1.7356746765249538</v>
      </c>
      <c r="N743" t="s">
        <v>376</v>
      </c>
    </row>
    <row r="744" spans="1:14" x14ac:dyDescent="0.25">
      <c r="A744" t="s">
        <v>451</v>
      </c>
      <c r="B744" t="s">
        <v>725</v>
      </c>
      <c r="C744" t="s">
        <v>1249</v>
      </c>
      <c r="D744">
        <v>1</v>
      </c>
      <c r="E744">
        <v>1</v>
      </c>
      <c r="F744">
        <v>615</v>
      </c>
      <c r="G744" s="14">
        <v>45771</v>
      </c>
      <c r="H744" s="14">
        <v>46122</v>
      </c>
      <c r="I744">
        <v>352</v>
      </c>
      <c r="J744" s="15">
        <v>1100</v>
      </c>
      <c r="K744" s="16">
        <f t="shared" si="22"/>
        <v>1.7886178861788617</v>
      </c>
      <c r="L744" s="15">
        <v>1100</v>
      </c>
      <c r="M744" s="16">
        <f t="shared" si="23"/>
        <v>1.7886178861788617</v>
      </c>
      <c r="N744" t="s">
        <v>376</v>
      </c>
    </row>
    <row r="745" spans="1:14" x14ac:dyDescent="0.25">
      <c r="A745" t="s">
        <v>472</v>
      </c>
      <c r="B745" t="s">
        <v>496</v>
      </c>
      <c r="C745" t="s">
        <v>1250</v>
      </c>
      <c r="D745">
        <v>1</v>
      </c>
      <c r="E745">
        <v>1</v>
      </c>
      <c r="F745">
        <v>625</v>
      </c>
      <c r="G745" s="14">
        <v>46105</v>
      </c>
      <c r="H745" s="14">
        <v>46122</v>
      </c>
      <c r="I745">
        <v>18</v>
      </c>
      <c r="J745" s="15">
        <v>1343</v>
      </c>
      <c r="K745" s="16">
        <f t="shared" si="22"/>
        <v>2.1488</v>
      </c>
      <c r="L745" s="15">
        <v>1343</v>
      </c>
      <c r="M745" s="16">
        <f t="shared" si="23"/>
        <v>2.1488</v>
      </c>
      <c r="N745" t="s">
        <v>376</v>
      </c>
    </row>
    <row r="746" spans="1:14" x14ac:dyDescent="0.25">
      <c r="A746" t="s">
        <v>465</v>
      </c>
      <c r="B746" t="s">
        <v>603</v>
      </c>
      <c r="C746" t="s">
        <v>1251</v>
      </c>
      <c r="D746">
        <v>2</v>
      </c>
      <c r="E746">
        <v>2</v>
      </c>
      <c r="F746">
        <v>1011</v>
      </c>
      <c r="G746" s="14">
        <v>46034</v>
      </c>
      <c r="H746" s="14">
        <v>46122</v>
      </c>
      <c r="I746">
        <v>89</v>
      </c>
      <c r="J746" s="15">
        <v>1346</v>
      </c>
      <c r="K746" s="16">
        <f t="shared" si="22"/>
        <v>1.3313550939663699</v>
      </c>
      <c r="L746" s="15">
        <v>1035</v>
      </c>
      <c r="M746" s="16">
        <f t="shared" si="23"/>
        <v>1.0237388724035608</v>
      </c>
      <c r="N746" t="s">
        <v>376</v>
      </c>
    </row>
    <row r="747" spans="1:14" x14ac:dyDescent="0.25">
      <c r="A747" t="s">
        <v>486</v>
      </c>
      <c r="B747" t="s">
        <v>581</v>
      </c>
      <c r="C747" t="s">
        <v>1252</v>
      </c>
      <c r="D747">
        <v>1</v>
      </c>
      <c r="E747">
        <v>1</v>
      </c>
      <c r="F747">
        <v>650</v>
      </c>
      <c r="G747" s="14">
        <v>46053</v>
      </c>
      <c r="H747" s="14">
        <v>46123</v>
      </c>
      <c r="I747">
        <v>71</v>
      </c>
      <c r="J747" s="15">
        <v>1124</v>
      </c>
      <c r="K747" s="16">
        <f t="shared" si="22"/>
        <v>1.7292307692307691</v>
      </c>
      <c r="L747" s="15">
        <v>976</v>
      </c>
      <c r="M747" s="16">
        <f t="shared" si="23"/>
        <v>1.5015384615384615</v>
      </c>
      <c r="N747" t="s">
        <v>376</v>
      </c>
    </row>
    <row r="748" spans="1:14" x14ac:dyDescent="0.25">
      <c r="A748" t="s">
        <v>477</v>
      </c>
      <c r="B748" t="s">
        <v>609</v>
      </c>
      <c r="C748" t="s">
        <v>1253</v>
      </c>
      <c r="D748">
        <v>2</v>
      </c>
      <c r="E748">
        <v>2</v>
      </c>
      <c r="F748">
        <v>1050</v>
      </c>
      <c r="G748" s="14">
        <v>46123</v>
      </c>
      <c r="H748" s="14">
        <v>46124</v>
      </c>
      <c r="I748">
        <v>2</v>
      </c>
      <c r="J748" s="15">
        <v>1217</v>
      </c>
      <c r="K748" s="16">
        <f t="shared" si="22"/>
        <v>1.1590476190476191</v>
      </c>
      <c r="L748" s="15">
        <v>1217</v>
      </c>
      <c r="M748" s="16">
        <f t="shared" si="23"/>
        <v>1.1590476190476191</v>
      </c>
      <c r="N748" t="s">
        <v>376</v>
      </c>
    </row>
    <row r="749" spans="1:14" x14ac:dyDescent="0.25">
      <c r="A749" t="s">
        <v>472</v>
      </c>
      <c r="B749" t="s">
        <v>496</v>
      </c>
      <c r="C749" t="s">
        <v>1254</v>
      </c>
      <c r="D749">
        <v>1</v>
      </c>
      <c r="E749">
        <v>1</v>
      </c>
      <c r="F749">
        <v>625</v>
      </c>
      <c r="G749" s="14">
        <v>46114</v>
      </c>
      <c r="H749" s="14">
        <v>46124</v>
      </c>
      <c r="I749">
        <v>11</v>
      </c>
      <c r="J749" s="15">
        <v>1598</v>
      </c>
      <c r="K749" s="16">
        <f t="shared" si="22"/>
        <v>2.5568</v>
      </c>
      <c r="L749" s="15">
        <v>1598</v>
      </c>
      <c r="M749" s="16">
        <f t="shared" si="23"/>
        <v>2.5568</v>
      </c>
      <c r="N749" t="s">
        <v>376</v>
      </c>
    </row>
    <row r="750" spans="1:14" x14ac:dyDescent="0.25">
      <c r="A750" t="s">
        <v>477</v>
      </c>
      <c r="B750" t="s">
        <v>478</v>
      </c>
      <c r="C750" t="s">
        <v>1255</v>
      </c>
      <c r="D750">
        <v>1</v>
      </c>
      <c r="E750">
        <v>1</v>
      </c>
      <c r="F750">
        <v>771</v>
      </c>
      <c r="G750" s="14">
        <v>46004</v>
      </c>
      <c r="H750" s="14">
        <v>46125</v>
      </c>
      <c r="I750">
        <v>122</v>
      </c>
      <c r="J750" s="15">
        <v>1031</v>
      </c>
      <c r="K750" s="16">
        <f t="shared" si="22"/>
        <v>1.3372243839169908</v>
      </c>
      <c r="L750" s="15">
        <v>1031</v>
      </c>
      <c r="M750" s="16">
        <f t="shared" si="23"/>
        <v>1.3372243839169908</v>
      </c>
      <c r="N750" t="s">
        <v>376</v>
      </c>
    </row>
    <row r="751" spans="1:14" x14ac:dyDescent="0.25">
      <c r="A751" t="s">
        <v>477</v>
      </c>
      <c r="B751" t="s">
        <v>587</v>
      </c>
      <c r="C751" t="s">
        <v>1256</v>
      </c>
      <c r="D751">
        <v>3</v>
      </c>
      <c r="E751">
        <v>2</v>
      </c>
      <c r="F751">
        <v>1244</v>
      </c>
      <c r="G751" s="14">
        <v>46077</v>
      </c>
      <c r="H751" s="14">
        <v>46125</v>
      </c>
      <c r="I751">
        <v>49</v>
      </c>
      <c r="J751" s="15">
        <v>1396</v>
      </c>
      <c r="K751" s="16">
        <f t="shared" si="22"/>
        <v>1.1221864951768488</v>
      </c>
      <c r="L751" s="15">
        <v>1396</v>
      </c>
      <c r="M751" s="16">
        <f t="shared" si="23"/>
        <v>1.1221864951768488</v>
      </c>
      <c r="N751" t="s">
        <v>376</v>
      </c>
    </row>
    <row r="752" spans="1:14" x14ac:dyDescent="0.25">
      <c r="A752" t="s">
        <v>462</v>
      </c>
      <c r="B752" t="s">
        <v>470</v>
      </c>
      <c r="C752" t="s">
        <v>1257</v>
      </c>
      <c r="D752">
        <v>1</v>
      </c>
      <c r="E752">
        <v>1</v>
      </c>
      <c r="F752">
        <v>732</v>
      </c>
      <c r="G752" s="14">
        <v>46084</v>
      </c>
      <c r="H752" s="14">
        <v>46125</v>
      </c>
      <c r="I752">
        <v>42</v>
      </c>
      <c r="J752" s="15">
        <v>1425</v>
      </c>
      <c r="K752" s="16">
        <f t="shared" si="22"/>
        <v>1.9467213114754098</v>
      </c>
      <c r="L752" s="15">
        <v>1069</v>
      </c>
      <c r="M752" s="16">
        <f t="shared" si="23"/>
        <v>1.4603825136612021</v>
      </c>
      <c r="N752" t="s">
        <v>376</v>
      </c>
    </row>
    <row r="753" spans="1:14" x14ac:dyDescent="0.25">
      <c r="A753" t="s">
        <v>462</v>
      </c>
      <c r="B753" t="s">
        <v>463</v>
      </c>
      <c r="C753" t="s">
        <v>1258</v>
      </c>
      <c r="D753">
        <v>2</v>
      </c>
      <c r="E753">
        <v>2</v>
      </c>
      <c r="F753">
        <v>958</v>
      </c>
      <c r="G753" s="14">
        <v>46011</v>
      </c>
      <c r="H753" s="14">
        <v>46125</v>
      </c>
      <c r="I753">
        <v>115</v>
      </c>
      <c r="J753" s="15">
        <v>1650</v>
      </c>
      <c r="K753" s="16">
        <f t="shared" si="22"/>
        <v>1.7223382045929019</v>
      </c>
      <c r="L753" s="15">
        <v>1238</v>
      </c>
      <c r="M753" s="16">
        <f t="shared" si="23"/>
        <v>1.292275574112735</v>
      </c>
      <c r="N753" t="s">
        <v>376</v>
      </c>
    </row>
    <row r="754" spans="1:14" x14ac:dyDescent="0.25">
      <c r="A754" t="s">
        <v>451</v>
      </c>
      <c r="B754" t="s">
        <v>533</v>
      </c>
      <c r="C754" t="s">
        <v>1259</v>
      </c>
      <c r="D754">
        <v>1</v>
      </c>
      <c r="E754">
        <v>1</v>
      </c>
      <c r="F754">
        <v>600</v>
      </c>
      <c r="G754" s="14">
        <v>45822</v>
      </c>
      <c r="H754" s="14">
        <v>46126</v>
      </c>
      <c r="I754">
        <v>305</v>
      </c>
      <c r="J754" s="15">
        <v>1200</v>
      </c>
      <c r="K754" s="16">
        <f t="shared" si="22"/>
        <v>2</v>
      </c>
      <c r="L754" s="15">
        <v>1100</v>
      </c>
      <c r="M754" s="16">
        <f t="shared" si="23"/>
        <v>1.8333333333333333</v>
      </c>
      <c r="N754" t="s">
        <v>376</v>
      </c>
    </row>
    <row r="755" spans="1:14" x14ac:dyDescent="0.25">
      <c r="A755" t="s">
        <v>451</v>
      </c>
      <c r="B755" t="s">
        <v>460</v>
      </c>
      <c r="C755" t="s">
        <v>1260</v>
      </c>
      <c r="D755">
        <v>1</v>
      </c>
      <c r="E755">
        <v>1</v>
      </c>
      <c r="F755">
        <v>726</v>
      </c>
      <c r="G755" s="14">
        <v>46008</v>
      </c>
      <c r="H755" s="14">
        <v>46126</v>
      </c>
      <c r="I755">
        <v>119</v>
      </c>
      <c r="J755" s="15">
        <v>1200</v>
      </c>
      <c r="K755" s="16">
        <f t="shared" si="22"/>
        <v>1.6528925619834711</v>
      </c>
      <c r="L755" s="15">
        <v>1100</v>
      </c>
      <c r="M755" s="16">
        <f t="shared" si="23"/>
        <v>1.5151515151515151</v>
      </c>
      <c r="N755" t="s">
        <v>376</v>
      </c>
    </row>
    <row r="756" spans="1:14" x14ac:dyDescent="0.25">
      <c r="A756" t="s">
        <v>486</v>
      </c>
      <c r="B756" t="s">
        <v>517</v>
      </c>
      <c r="C756" t="s">
        <v>1261</v>
      </c>
      <c r="D756">
        <v>2</v>
      </c>
      <c r="E756">
        <v>2</v>
      </c>
      <c r="F756">
        <v>1000</v>
      </c>
      <c r="G756" s="14">
        <v>46022</v>
      </c>
      <c r="H756" s="14">
        <v>46126</v>
      </c>
      <c r="I756">
        <v>105</v>
      </c>
      <c r="J756" s="15">
        <v>1292</v>
      </c>
      <c r="K756" s="16">
        <f t="shared" si="22"/>
        <v>1.292</v>
      </c>
      <c r="L756" s="15">
        <v>1093</v>
      </c>
      <c r="M756" s="16">
        <f t="shared" si="23"/>
        <v>1.093</v>
      </c>
      <c r="N756" t="s">
        <v>376</v>
      </c>
    </row>
    <row r="757" spans="1:14" x14ac:dyDescent="0.25">
      <c r="A757" t="s">
        <v>486</v>
      </c>
      <c r="B757" t="s">
        <v>521</v>
      </c>
      <c r="C757" t="s">
        <v>1262</v>
      </c>
      <c r="D757">
        <v>2</v>
      </c>
      <c r="E757">
        <v>2</v>
      </c>
      <c r="F757">
        <v>1000</v>
      </c>
      <c r="G757" s="14">
        <v>46080</v>
      </c>
      <c r="H757" s="14">
        <v>46126</v>
      </c>
      <c r="I757">
        <v>47</v>
      </c>
      <c r="J757" s="15">
        <v>1447</v>
      </c>
      <c r="K757" s="16">
        <f t="shared" si="22"/>
        <v>1.4470000000000001</v>
      </c>
      <c r="L757" s="15">
        <v>1224</v>
      </c>
      <c r="M757" s="16">
        <f t="shared" si="23"/>
        <v>1.224</v>
      </c>
      <c r="N757" t="s">
        <v>376</v>
      </c>
    </row>
    <row r="758" spans="1:14" x14ac:dyDescent="0.25">
      <c r="A758" t="s">
        <v>486</v>
      </c>
      <c r="B758" t="s">
        <v>521</v>
      </c>
      <c r="C758" t="s">
        <v>1263</v>
      </c>
      <c r="D758">
        <v>2</v>
      </c>
      <c r="E758">
        <v>2</v>
      </c>
      <c r="F758">
        <v>1000</v>
      </c>
      <c r="G758" s="14">
        <v>46035</v>
      </c>
      <c r="H758" s="14">
        <v>46126</v>
      </c>
      <c r="I758">
        <v>92</v>
      </c>
      <c r="J758" s="15">
        <v>1452</v>
      </c>
      <c r="K758" s="16">
        <f t="shared" si="22"/>
        <v>1.452</v>
      </c>
      <c r="L758" s="15">
        <v>1228</v>
      </c>
      <c r="M758" s="16">
        <f t="shared" si="23"/>
        <v>1.228</v>
      </c>
      <c r="N758" t="s">
        <v>376</v>
      </c>
    </row>
    <row r="759" spans="1:14" x14ac:dyDescent="0.25">
      <c r="A759" t="s">
        <v>454</v>
      </c>
      <c r="B759" t="s">
        <v>455</v>
      </c>
      <c r="C759" t="s">
        <v>1264</v>
      </c>
      <c r="D759">
        <v>2</v>
      </c>
      <c r="E759">
        <v>2</v>
      </c>
      <c r="F759">
        <v>1001</v>
      </c>
      <c r="G759" s="14">
        <v>46106</v>
      </c>
      <c r="H759" s="14">
        <v>46127</v>
      </c>
      <c r="I759">
        <v>22</v>
      </c>
      <c r="J759" s="15">
        <v>1350</v>
      </c>
      <c r="K759" s="16">
        <f t="shared" si="22"/>
        <v>1.3486513486513487</v>
      </c>
      <c r="L759" s="15">
        <v>1350</v>
      </c>
      <c r="M759" s="16">
        <f t="shared" si="23"/>
        <v>1.3486513486513487</v>
      </c>
      <c r="N759" t="s">
        <v>376</v>
      </c>
    </row>
    <row r="760" spans="1:14" x14ac:dyDescent="0.25">
      <c r="A760" t="s">
        <v>472</v>
      </c>
      <c r="B760" t="s">
        <v>473</v>
      </c>
      <c r="C760" t="s">
        <v>1265</v>
      </c>
      <c r="D760">
        <v>2</v>
      </c>
      <c r="E760">
        <v>1</v>
      </c>
      <c r="F760">
        <v>800</v>
      </c>
      <c r="G760" s="14">
        <v>46056</v>
      </c>
      <c r="H760" s="14">
        <v>46127</v>
      </c>
      <c r="I760">
        <v>72</v>
      </c>
      <c r="J760" s="15">
        <v>1748</v>
      </c>
      <c r="K760" s="16">
        <f t="shared" si="22"/>
        <v>2.1850000000000001</v>
      </c>
      <c r="L760" s="15">
        <v>1498</v>
      </c>
      <c r="M760" s="16">
        <f t="shared" si="23"/>
        <v>1.8725000000000001</v>
      </c>
      <c r="N760" t="s">
        <v>376</v>
      </c>
    </row>
    <row r="761" spans="1:14" x14ac:dyDescent="0.25">
      <c r="A761" t="s">
        <v>465</v>
      </c>
      <c r="B761" t="s">
        <v>623</v>
      </c>
      <c r="C761" t="s">
        <v>1266</v>
      </c>
      <c r="D761">
        <v>2</v>
      </c>
      <c r="E761">
        <v>1</v>
      </c>
      <c r="F761">
        <v>874</v>
      </c>
      <c r="G761" s="14">
        <v>46026</v>
      </c>
      <c r="H761" s="14">
        <v>46127</v>
      </c>
      <c r="I761">
        <v>102</v>
      </c>
      <c r="J761" s="15">
        <v>1256</v>
      </c>
      <c r="K761" s="16">
        <f t="shared" si="22"/>
        <v>1.437070938215103</v>
      </c>
      <c r="L761" s="15">
        <v>966</v>
      </c>
      <c r="M761" s="16">
        <f t="shared" si="23"/>
        <v>1.1052631578947369</v>
      </c>
      <c r="N761" t="s">
        <v>376</v>
      </c>
    </row>
    <row r="762" spans="1:14" x14ac:dyDescent="0.25">
      <c r="A762" t="s">
        <v>472</v>
      </c>
      <c r="B762" t="s">
        <v>496</v>
      </c>
      <c r="C762" t="s">
        <v>1267</v>
      </c>
      <c r="D762">
        <v>1</v>
      </c>
      <c r="E762">
        <v>1</v>
      </c>
      <c r="F762">
        <v>625</v>
      </c>
      <c r="G762" s="14">
        <v>46121</v>
      </c>
      <c r="H762" s="14">
        <v>46128</v>
      </c>
      <c r="I762">
        <v>8</v>
      </c>
      <c r="J762" s="15">
        <v>1098</v>
      </c>
      <c r="K762" s="16">
        <f t="shared" si="22"/>
        <v>1.7567999999999999</v>
      </c>
      <c r="L762" s="15">
        <v>915</v>
      </c>
      <c r="M762" s="16">
        <f t="shared" si="23"/>
        <v>1.464</v>
      </c>
      <c r="N762" t="s">
        <v>376</v>
      </c>
    </row>
    <row r="763" spans="1:14" x14ac:dyDescent="0.25">
      <c r="A763" t="s">
        <v>472</v>
      </c>
      <c r="B763" t="s">
        <v>473</v>
      </c>
      <c r="C763" t="s">
        <v>1268</v>
      </c>
      <c r="D763">
        <v>2</v>
      </c>
      <c r="E763">
        <v>1</v>
      </c>
      <c r="F763">
        <v>800</v>
      </c>
      <c r="G763" s="14">
        <v>46038</v>
      </c>
      <c r="H763" s="14">
        <v>46128</v>
      </c>
      <c r="I763">
        <v>91</v>
      </c>
      <c r="J763" s="15">
        <v>1248</v>
      </c>
      <c r="K763" s="16">
        <f t="shared" si="22"/>
        <v>1.56</v>
      </c>
      <c r="L763" s="15">
        <v>1070</v>
      </c>
      <c r="M763" s="16">
        <f t="shared" si="23"/>
        <v>1.3374999999999999</v>
      </c>
      <c r="N763" t="s">
        <v>376</v>
      </c>
    </row>
    <row r="764" spans="1:14" x14ac:dyDescent="0.25">
      <c r="A764" t="s">
        <v>472</v>
      </c>
      <c r="B764" t="s">
        <v>473</v>
      </c>
      <c r="C764" t="s">
        <v>1269</v>
      </c>
      <c r="D764">
        <v>2</v>
      </c>
      <c r="E764">
        <v>1</v>
      </c>
      <c r="F764">
        <v>800</v>
      </c>
      <c r="G764" s="14">
        <v>46116</v>
      </c>
      <c r="H764" s="14">
        <v>46128</v>
      </c>
      <c r="I764">
        <v>13</v>
      </c>
      <c r="J764" s="15">
        <v>1248</v>
      </c>
      <c r="K764" s="16">
        <f t="shared" si="22"/>
        <v>1.56</v>
      </c>
      <c r="L764" s="15">
        <v>1040</v>
      </c>
      <c r="M764" s="16">
        <f t="shared" si="23"/>
        <v>1.3</v>
      </c>
      <c r="N764" t="s">
        <v>376</v>
      </c>
    </row>
    <row r="765" spans="1:14" x14ac:dyDescent="0.25">
      <c r="A765" t="s">
        <v>486</v>
      </c>
      <c r="B765" t="s">
        <v>510</v>
      </c>
      <c r="C765" t="s">
        <v>1270</v>
      </c>
      <c r="D765">
        <v>1</v>
      </c>
      <c r="E765">
        <v>1</v>
      </c>
      <c r="F765">
        <v>650</v>
      </c>
      <c r="G765" s="14">
        <v>46080</v>
      </c>
      <c r="H765" s="14">
        <v>46128</v>
      </c>
      <c r="I765">
        <v>49</v>
      </c>
      <c r="J765" s="15">
        <v>1234</v>
      </c>
      <c r="K765" s="16">
        <f t="shared" si="22"/>
        <v>1.8984615384615384</v>
      </c>
      <c r="L765" s="15">
        <v>990</v>
      </c>
      <c r="M765" s="16">
        <f t="shared" si="23"/>
        <v>1.523076923076923</v>
      </c>
      <c r="N765" t="s">
        <v>376</v>
      </c>
    </row>
    <row r="766" spans="1:14" x14ac:dyDescent="0.25">
      <c r="A766" t="s">
        <v>486</v>
      </c>
      <c r="B766" t="s">
        <v>510</v>
      </c>
      <c r="C766" t="s">
        <v>1271</v>
      </c>
      <c r="D766">
        <v>1</v>
      </c>
      <c r="E766">
        <v>1</v>
      </c>
      <c r="F766">
        <v>650</v>
      </c>
      <c r="G766" s="14">
        <v>46058</v>
      </c>
      <c r="H766" s="14">
        <v>46128</v>
      </c>
      <c r="I766">
        <v>71</v>
      </c>
      <c r="J766" s="15">
        <v>1234</v>
      </c>
      <c r="K766" s="16">
        <f t="shared" si="22"/>
        <v>1.8984615384615384</v>
      </c>
      <c r="L766" s="15">
        <v>990</v>
      </c>
      <c r="M766" s="16">
        <f t="shared" si="23"/>
        <v>1.523076923076923</v>
      </c>
      <c r="N766" t="s">
        <v>376</v>
      </c>
    </row>
    <row r="767" spans="1:14" x14ac:dyDescent="0.25">
      <c r="A767" t="s">
        <v>465</v>
      </c>
      <c r="B767" t="s">
        <v>502</v>
      </c>
      <c r="C767" t="s">
        <v>1272</v>
      </c>
      <c r="D767">
        <v>2</v>
      </c>
      <c r="E767">
        <v>2</v>
      </c>
      <c r="F767">
        <v>1011</v>
      </c>
      <c r="G767" s="14">
        <v>45974</v>
      </c>
      <c r="H767" s="14">
        <v>46128</v>
      </c>
      <c r="I767">
        <v>155</v>
      </c>
      <c r="J767" s="15">
        <v>1306</v>
      </c>
      <c r="K767" s="16">
        <f t="shared" si="22"/>
        <v>1.2917903066271019</v>
      </c>
      <c r="L767" s="15">
        <v>1004</v>
      </c>
      <c r="M767" s="16">
        <f t="shared" si="23"/>
        <v>0.99307616221562811</v>
      </c>
      <c r="N767" t="s">
        <v>376</v>
      </c>
    </row>
    <row r="768" spans="1:14" x14ac:dyDescent="0.25">
      <c r="A768" t="s">
        <v>457</v>
      </c>
      <c r="B768" t="s">
        <v>1081</v>
      </c>
      <c r="C768" t="s">
        <v>1273</v>
      </c>
      <c r="D768">
        <v>1</v>
      </c>
      <c r="E768">
        <v>1</v>
      </c>
      <c r="F768">
        <v>541</v>
      </c>
      <c r="G768" s="14">
        <v>46111</v>
      </c>
      <c r="H768" s="14">
        <v>46131</v>
      </c>
      <c r="I768">
        <v>21</v>
      </c>
      <c r="J768" s="15">
        <v>1087</v>
      </c>
      <c r="K768" s="16">
        <f t="shared" si="22"/>
        <v>2.0092421441774491</v>
      </c>
      <c r="L768" s="15">
        <v>872</v>
      </c>
      <c r="M768" s="16">
        <f t="shared" si="23"/>
        <v>1.6118299445471349</v>
      </c>
      <c r="N768" t="s">
        <v>376</v>
      </c>
    </row>
    <row r="769" spans="1:14" x14ac:dyDescent="0.25">
      <c r="A769" t="s">
        <v>465</v>
      </c>
      <c r="B769" t="s">
        <v>672</v>
      </c>
      <c r="C769" t="s">
        <v>1274</v>
      </c>
      <c r="D769">
        <v>1</v>
      </c>
      <c r="E769">
        <v>1</v>
      </c>
      <c r="F769">
        <v>532</v>
      </c>
      <c r="G769" s="14">
        <v>46127</v>
      </c>
      <c r="H769" s="14">
        <v>46131</v>
      </c>
      <c r="I769">
        <v>5</v>
      </c>
      <c r="J769" s="15">
        <v>1036</v>
      </c>
      <c r="K769" s="16">
        <f t="shared" si="22"/>
        <v>1.9473684210526316</v>
      </c>
      <c r="L769" s="15">
        <v>797</v>
      </c>
      <c r="M769" s="16">
        <f t="shared" si="23"/>
        <v>1.4981203007518797</v>
      </c>
      <c r="N769" t="s">
        <v>376</v>
      </c>
    </row>
    <row r="770" spans="1:14" x14ac:dyDescent="0.25">
      <c r="A770" t="s">
        <v>451</v>
      </c>
      <c r="B770" t="s">
        <v>533</v>
      </c>
      <c r="C770" t="s">
        <v>1275</v>
      </c>
      <c r="D770">
        <v>1</v>
      </c>
      <c r="E770">
        <v>1</v>
      </c>
      <c r="F770">
        <v>600</v>
      </c>
      <c r="G770" s="14">
        <v>45623</v>
      </c>
      <c r="H770" s="14">
        <v>46132</v>
      </c>
      <c r="I770">
        <v>510</v>
      </c>
      <c r="J770" s="15">
        <v>1200</v>
      </c>
      <c r="K770" s="16">
        <f t="shared" ref="K770:K833" si="24">IFERROR(J770/F770,0)</f>
        <v>2</v>
      </c>
      <c r="L770" s="15">
        <v>1100</v>
      </c>
      <c r="M770" s="16">
        <f t="shared" ref="M770:M833" si="25">IFERROR(L770/F770,0)</f>
        <v>1.8333333333333333</v>
      </c>
      <c r="N770" t="s">
        <v>376</v>
      </c>
    </row>
    <row r="771" spans="1:14" x14ac:dyDescent="0.25">
      <c r="A771" t="s">
        <v>486</v>
      </c>
      <c r="B771" t="s">
        <v>521</v>
      </c>
      <c r="C771" t="s">
        <v>1276</v>
      </c>
      <c r="D771">
        <v>2</v>
      </c>
      <c r="E771">
        <v>2</v>
      </c>
      <c r="F771">
        <v>1000</v>
      </c>
      <c r="G771" s="14">
        <v>46093</v>
      </c>
      <c r="H771" s="14">
        <v>46132</v>
      </c>
      <c r="I771">
        <v>40</v>
      </c>
      <c r="J771" s="15">
        <v>1452</v>
      </c>
      <c r="K771" s="16">
        <f t="shared" si="24"/>
        <v>1.452</v>
      </c>
      <c r="L771" s="15">
        <v>1117</v>
      </c>
      <c r="M771" s="16">
        <f t="shared" si="25"/>
        <v>1.117</v>
      </c>
      <c r="N771" t="s">
        <v>376</v>
      </c>
    </row>
    <row r="772" spans="1:14" x14ac:dyDescent="0.25">
      <c r="A772" t="s">
        <v>465</v>
      </c>
      <c r="B772" t="s">
        <v>567</v>
      </c>
      <c r="C772" t="s">
        <v>1277</v>
      </c>
      <c r="D772">
        <v>1</v>
      </c>
      <c r="E772">
        <v>1</v>
      </c>
      <c r="F772">
        <v>757</v>
      </c>
      <c r="G772" s="14">
        <v>46093</v>
      </c>
      <c r="H772" s="14">
        <v>46132</v>
      </c>
      <c r="I772">
        <v>40</v>
      </c>
      <c r="J772" s="15">
        <v>1186</v>
      </c>
      <c r="K772" s="16">
        <f t="shared" si="24"/>
        <v>1.5667107001321003</v>
      </c>
      <c r="L772" s="15">
        <v>933</v>
      </c>
      <c r="M772" s="16">
        <f t="shared" si="25"/>
        <v>1.2324966974900924</v>
      </c>
      <c r="N772" t="s">
        <v>376</v>
      </c>
    </row>
    <row r="773" spans="1:14" x14ac:dyDescent="0.25">
      <c r="A773" t="s">
        <v>465</v>
      </c>
      <c r="B773" t="s">
        <v>500</v>
      </c>
      <c r="C773" t="s">
        <v>1278</v>
      </c>
      <c r="D773">
        <v>2</v>
      </c>
      <c r="E773">
        <v>1</v>
      </c>
      <c r="F773">
        <v>912</v>
      </c>
      <c r="G773" s="14">
        <v>45892</v>
      </c>
      <c r="H773" s="14">
        <v>46132</v>
      </c>
      <c r="I773">
        <v>241</v>
      </c>
      <c r="J773" s="15">
        <v>1302</v>
      </c>
      <c r="K773" s="16">
        <f t="shared" si="24"/>
        <v>1.4276315789473684</v>
      </c>
      <c r="L773" s="15">
        <v>1001</v>
      </c>
      <c r="M773" s="16">
        <f t="shared" si="25"/>
        <v>1.0975877192982457</v>
      </c>
      <c r="N773" t="s">
        <v>376</v>
      </c>
    </row>
    <row r="774" spans="1:14" x14ac:dyDescent="0.25">
      <c r="A774" t="s">
        <v>451</v>
      </c>
      <c r="B774" t="s">
        <v>533</v>
      </c>
      <c r="C774" t="s">
        <v>1279</v>
      </c>
      <c r="D774">
        <v>1</v>
      </c>
      <c r="E774">
        <v>1</v>
      </c>
      <c r="F774">
        <v>600</v>
      </c>
      <c r="G774" s="14">
        <v>45825</v>
      </c>
      <c r="H774" s="14">
        <v>46133</v>
      </c>
      <c r="I774">
        <v>309</v>
      </c>
      <c r="J774" s="15">
        <v>1200</v>
      </c>
      <c r="K774" s="16">
        <f t="shared" si="24"/>
        <v>2</v>
      </c>
      <c r="L774" s="15">
        <v>1100</v>
      </c>
      <c r="M774" s="16">
        <f t="shared" si="25"/>
        <v>1.8333333333333333</v>
      </c>
      <c r="N774" t="s">
        <v>376</v>
      </c>
    </row>
    <row r="775" spans="1:14" x14ac:dyDescent="0.25">
      <c r="A775" t="s">
        <v>451</v>
      </c>
      <c r="B775" t="s">
        <v>460</v>
      </c>
      <c r="C775" t="s">
        <v>1280</v>
      </c>
      <c r="D775">
        <v>1</v>
      </c>
      <c r="E775">
        <v>1</v>
      </c>
      <c r="F775">
        <v>726</v>
      </c>
      <c r="G775" s="14">
        <v>46067</v>
      </c>
      <c r="H775" s="14">
        <v>46133</v>
      </c>
      <c r="I775">
        <v>67</v>
      </c>
      <c r="J775" s="15">
        <v>1325</v>
      </c>
      <c r="K775" s="16">
        <f t="shared" si="24"/>
        <v>1.8250688705234159</v>
      </c>
      <c r="L775" s="15">
        <v>1215</v>
      </c>
      <c r="M775" s="16">
        <f t="shared" si="25"/>
        <v>1.6735537190082646</v>
      </c>
      <c r="N775" t="s">
        <v>376</v>
      </c>
    </row>
    <row r="776" spans="1:14" x14ac:dyDescent="0.25">
      <c r="A776" t="s">
        <v>451</v>
      </c>
      <c r="B776" t="s">
        <v>452</v>
      </c>
      <c r="C776" t="s">
        <v>508</v>
      </c>
      <c r="D776">
        <v>2</v>
      </c>
      <c r="E776">
        <v>2</v>
      </c>
      <c r="F776">
        <v>903</v>
      </c>
      <c r="G776" s="14">
        <v>46114</v>
      </c>
      <c r="H776" s="14">
        <v>46133</v>
      </c>
      <c r="I776">
        <v>20</v>
      </c>
      <c r="J776" s="15">
        <v>1475</v>
      </c>
      <c r="K776" s="16">
        <f t="shared" si="24"/>
        <v>1.6334440753045405</v>
      </c>
      <c r="L776" s="15">
        <v>1352</v>
      </c>
      <c r="M776" s="16">
        <f t="shared" si="25"/>
        <v>1.4972314507198228</v>
      </c>
      <c r="N776" t="s">
        <v>376</v>
      </c>
    </row>
    <row r="777" spans="1:14" x14ac:dyDescent="0.25">
      <c r="A777" t="s">
        <v>451</v>
      </c>
      <c r="B777" t="s">
        <v>452</v>
      </c>
      <c r="C777" t="s">
        <v>1281</v>
      </c>
      <c r="D777">
        <v>2</v>
      </c>
      <c r="E777">
        <v>2</v>
      </c>
      <c r="F777">
        <v>903</v>
      </c>
      <c r="G777" s="14">
        <v>46128</v>
      </c>
      <c r="H777" s="14">
        <v>46133</v>
      </c>
      <c r="I777">
        <v>6</v>
      </c>
      <c r="J777" s="15">
        <v>1475</v>
      </c>
      <c r="K777" s="16">
        <f t="shared" si="24"/>
        <v>1.6334440753045405</v>
      </c>
      <c r="L777" s="15">
        <v>1352</v>
      </c>
      <c r="M777" s="16">
        <f t="shared" si="25"/>
        <v>1.4972314507198228</v>
      </c>
      <c r="N777" t="s">
        <v>376</v>
      </c>
    </row>
    <row r="778" spans="1:14" x14ac:dyDescent="0.25">
      <c r="A778" t="s">
        <v>477</v>
      </c>
      <c r="B778" t="s">
        <v>478</v>
      </c>
      <c r="C778" t="s">
        <v>1282</v>
      </c>
      <c r="D778">
        <v>1</v>
      </c>
      <c r="E778">
        <v>1</v>
      </c>
      <c r="F778">
        <v>771</v>
      </c>
      <c r="G778" s="14">
        <v>45786</v>
      </c>
      <c r="H778" s="14">
        <v>46133</v>
      </c>
      <c r="I778">
        <v>348</v>
      </c>
      <c r="J778" s="15">
        <v>1031</v>
      </c>
      <c r="K778" s="16">
        <f t="shared" si="24"/>
        <v>1.3372243839169908</v>
      </c>
      <c r="L778" s="15">
        <v>1031</v>
      </c>
      <c r="M778" s="16">
        <f t="shared" si="25"/>
        <v>1.3372243839169908</v>
      </c>
      <c r="N778" t="s">
        <v>376</v>
      </c>
    </row>
    <row r="779" spans="1:14" x14ac:dyDescent="0.25">
      <c r="A779" t="s">
        <v>462</v>
      </c>
      <c r="B779" t="s">
        <v>470</v>
      </c>
      <c r="C779" t="s">
        <v>1283</v>
      </c>
      <c r="D779">
        <v>1</v>
      </c>
      <c r="E779">
        <v>1</v>
      </c>
      <c r="F779">
        <v>732</v>
      </c>
      <c r="G779" s="14">
        <v>45750</v>
      </c>
      <c r="H779" s="14">
        <v>46133</v>
      </c>
      <c r="I779">
        <v>384</v>
      </c>
      <c r="J779" s="15">
        <v>1550</v>
      </c>
      <c r="K779" s="16">
        <f t="shared" si="24"/>
        <v>2.1174863387978142</v>
      </c>
      <c r="L779" s="15">
        <v>1162</v>
      </c>
      <c r="M779" s="16">
        <f t="shared" si="25"/>
        <v>1.5874316939890711</v>
      </c>
      <c r="N779" t="s">
        <v>376</v>
      </c>
    </row>
    <row r="780" spans="1:14" x14ac:dyDescent="0.25">
      <c r="A780" t="s">
        <v>462</v>
      </c>
      <c r="B780" t="s">
        <v>463</v>
      </c>
      <c r="C780" t="s">
        <v>1284</v>
      </c>
      <c r="D780">
        <v>2</v>
      </c>
      <c r="E780">
        <v>2</v>
      </c>
      <c r="F780">
        <v>958</v>
      </c>
      <c r="G780" s="14">
        <v>46112</v>
      </c>
      <c r="H780" s="14">
        <v>46133</v>
      </c>
      <c r="I780">
        <v>22</v>
      </c>
      <c r="J780" s="15">
        <v>1750</v>
      </c>
      <c r="K780" s="16">
        <f t="shared" si="24"/>
        <v>1.826722338204593</v>
      </c>
      <c r="L780" s="15">
        <v>1312</v>
      </c>
      <c r="M780" s="16">
        <f t="shared" si="25"/>
        <v>1.3695198329853862</v>
      </c>
      <c r="N780" t="s">
        <v>376</v>
      </c>
    </row>
    <row r="781" spans="1:14" x14ac:dyDescent="0.25">
      <c r="A781" t="s">
        <v>472</v>
      </c>
      <c r="B781" t="s">
        <v>496</v>
      </c>
      <c r="C781" t="s">
        <v>1285</v>
      </c>
      <c r="D781">
        <v>1</v>
      </c>
      <c r="E781">
        <v>1</v>
      </c>
      <c r="F781">
        <v>625</v>
      </c>
      <c r="G781" s="14">
        <v>46058</v>
      </c>
      <c r="H781" s="14">
        <v>46133</v>
      </c>
      <c r="I781">
        <v>76</v>
      </c>
      <c r="J781" s="15">
        <v>1198</v>
      </c>
      <c r="K781" s="16">
        <f t="shared" si="24"/>
        <v>1.9168000000000001</v>
      </c>
      <c r="L781" s="15">
        <v>1027</v>
      </c>
      <c r="M781" s="16">
        <f t="shared" si="25"/>
        <v>1.6432</v>
      </c>
      <c r="N781" t="s">
        <v>376</v>
      </c>
    </row>
    <row r="782" spans="1:14" x14ac:dyDescent="0.25">
      <c r="A782" t="s">
        <v>472</v>
      </c>
      <c r="B782" t="s">
        <v>473</v>
      </c>
      <c r="C782" t="s">
        <v>1286</v>
      </c>
      <c r="D782">
        <v>2</v>
      </c>
      <c r="E782">
        <v>1</v>
      </c>
      <c r="F782">
        <v>800</v>
      </c>
      <c r="G782" s="14">
        <v>46114</v>
      </c>
      <c r="H782" s="14">
        <v>46133</v>
      </c>
      <c r="I782">
        <v>20</v>
      </c>
      <c r="J782" s="15">
        <v>1248</v>
      </c>
      <c r="K782" s="16">
        <f t="shared" si="24"/>
        <v>1.56</v>
      </c>
      <c r="L782" s="15">
        <v>1070</v>
      </c>
      <c r="M782" s="16">
        <f t="shared" si="25"/>
        <v>1.3374999999999999</v>
      </c>
      <c r="N782" t="s">
        <v>376</v>
      </c>
    </row>
    <row r="783" spans="1:14" x14ac:dyDescent="0.25">
      <c r="A783" t="s">
        <v>472</v>
      </c>
      <c r="B783" t="s">
        <v>473</v>
      </c>
      <c r="C783" t="s">
        <v>1287</v>
      </c>
      <c r="D783">
        <v>2</v>
      </c>
      <c r="E783">
        <v>1</v>
      </c>
      <c r="F783">
        <v>800</v>
      </c>
      <c r="G783" s="14">
        <v>46100</v>
      </c>
      <c r="H783" s="14">
        <v>46133</v>
      </c>
      <c r="I783">
        <v>34</v>
      </c>
      <c r="J783" s="15">
        <v>1248</v>
      </c>
      <c r="K783" s="16">
        <f t="shared" si="24"/>
        <v>1.56</v>
      </c>
      <c r="L783" s="15">
        <v>1056</v>
      </c>
      <c r="M783" s="16">
        <f t="shared" si="25"/>
        <v>1.32</v>
      </c>
      <c r="N783" t="s">
        <v>376</v>
      </c>
    </row>
    <row r="784" spans="1:14" x14ac:dyDescent="0.25">
      <c r="A784" t="s">
        <v>472</v>
      </c>
      <c r="B784" t="s">
        <v>473</v>
      </c>
      <c r="C784" t="s">
        <v>1288</v>
      </c>
      <c r="D784">
        <v>2</v>
      </c>
      <c r="E784">
        <v>1</v>
      </c>
      <c r="F784">
        <v>800</v>
      </c>
      <c r="G784" s="14">
        <v>46036</v>
      </c>
      <c r="H784" s="14">
        <v>46133</v>
      </c>
      <c r="I784">
        <v>98</v>
      </c>
      <c r="J784" s="15">
        <v>1348</v>
      </c>
      <c r="K784" s="16">
        <f t="shared" si="24"/>
        <v>1.6850000000000001</v>
      </c>
      <c r="L784" s="15">
        <v>1155</v>
      </c>
      <c r="M784" s="16">
        <f t="shared" si="25"/>
        <v>1.4437500000000001</v>
      </c>
      <c r="N784" t="s">
        <v>376</v>
      </c>
    </row>
    <row r="785" spans="1:14" x14ac:dyDescent="0.25">
      <c r="A785" t="s">
        <v>472</v>
      </c>
      <c r="B785" t="s">
        <v>676</v>
      </c>
      <c r="C785" t="s">
        <v>1289</v>
      </c>
      <c r="D785">
        <v>3</v>
      </c>
      <c r="E785">
        <v>2</v>
      </c>
      <c r="F785">
        <v>1000</v>
      </c>
      <c r="G785" s="14">
        <v>46058</v>
      </c>
      <c r="H785" s="14">
        <v>46133</v>
      </c>
      <c r="I785">
        <v>76</v>
      </c>
      <c r="J785" s="15">
        <v>2050</v>
      </c>
      <c r="K785" s="16">
        <f t="shared" si="24"/>
        <v>2.0499999999999998</v>
      </c>
      <c r="L785" s="15">
        <v>1757</v>
      </c>
      <c r="M785" s="16">
        <f t="shared" si="25"/>
        <v>1.7569999999999999</v>
      </c>
      <c r="N785" t="s">
        <v>376</v>
      </c>
    </row>
    <row r="786" spans="1:14" x14ac:dyDescent="0.25">
      <c r="A786" t="s">
        <v>486</v>
      </c>
      <c r="B786" t="s">
        <v>581</v>
      </c>
      <c r="C786" t="s">
        <v>1290</v>
      </c>
      <c r="D786">
        <v>1</v>
      </c>
      <c r="E786">
        <v>1</v>
      </c>
      <c r="F786">
        <v>650</v>
      </c>
      <c r="G786" s="14">
        <v>46093</v>
      </c>
      <c r="H786" s="14">
        <v>46133</v>
      </c>
      <c r="I786">
        <v>41</v>
      </c>
      <c r="J786" s="15">
        <v>1134</v>
      </c>
      <c r="K786" s="16">
        <f t="shared" si="24"/>
        <v>1.7446153846153847</v>
      </c>
      <c r="L786" s="15">
        <v>892</v>
      </c>
      <c r="M786" s="16">
        <f t="shared" si="25"/>
        <v>1.3723076923076922</v>
      </c>
      <c r="N786" t="s">
        <v>376</v>
      </c>
    </row>
    <row r="787" spans="1:14" x14ac:dyDescent="0.25">
      <c r="A787" t="s">
        <v>486</v>
      </c>
      <c r="B787" t="s">
        <v>510</v>
      </c>
      <c r="C787" t="s">
        <v>1291</v>
      </c>
      <c r="D787">
        <v>1</v>
      </c>
      <c r="E787">
        <v>1</v>
      </c>
      <c r="F787">
        <v>650</v>
      </c>
      <c r="G787" s="14">
        <v>46081</v>
      </c>
      <c r="H787" s="14">
        <v>46133</v>
      </c>
      <c r="I787">
        <v>53</v>
      </c>
      <c r="J787" s="15">
        <v>1234</v>
      </c>
      <c r="K787" s="16">
        <f t="shared" si="24"/>
        <v>1.8984615384615384</v>
      </c>
      <c r="L787" s="15">
        <v>1234</v>
      </c>
      <c r="M787" s="16">
        <f t="shared" si="25"/>
        <v>1.8984615384615384</v>
      </c>
      <c r="N787" t="s">
        <v>376</v>
      </c>
    </row>
    <row r="788" spans="1:14" x14ac:dyDescent="0.25">
      <c r="A788" t="s">
        <v>486</v>
      </c>
      <c r="B788" t="s">
        <v>615</v>
      </c>
      <c r="C788" t="s">
        <v>1292</v>
      </c>
      <c r="D788">
        <v>2</v>
      </c>
      <c r="E788">
        <v>2</v>
      </c>
      <c r="F788">
        <v>1000</v>
      </c>
      <c r="G788" s="14">
        <v>45961</v>
      </c>
      <c r="H788" s="14">
        <v>46133</v>
      </c>
      <c r="I788">
        <v>173</v>
      </c>
      <c r="J788" s="15">
        <v>1352</v>
      </c>
      <c r="K788" s="16">
        <f t="shared" si="24"/>
        <v>1.3520000000000001</v>
      </c>
      <c r="L788" s="15">
        <v>1040</v>
      </c>
      <c r="M788" s="16">
        <f t="shared" si="25"/>
        <v>1.04</v>
      </c>
      <c r="N788" t="s">
        <v>376</v>
      </c>
    </row>
    <row r="789" spans="1:14" x14ac:dyDescent="0.25">
      <c r="A789" t="s">
        <v>486</v>
      </c>
      <c r="B789" t="s">
        <v>615</v>
      </c>
      <c r="C789" t="s">
        <v>1293</v>
      </c>
      <c r="D789">
        <v>2</v>
      </c>
      <c r="E789">
        <v>2</v>
      </c>
      <c r="F789">
        <v>1000</v>
      </c>
      <c r="G789" s="14">
        <v>46106</v>
      </c>
      <c r="H789" s="14">
        <v>46133</v>
      </c>
      <c r="I789">
        <v>28</v>
      </c>
      <c r="J789" s="15">
        <v>1352</v>
      </c>
      <c r="K789" s="16">
        <f t="shared" si="24"/>
        <v>1.3520000000000001</v>
      </c>
      <c r="L789" s="15">
        <v>1040</v>
      </c>
      <c r="M789" s="16">
        <f t="shared" si="25"/>
        <v>1.04</v>
      </c>
      <c r="N789" t="s">
        <v>376</v>
      </c>
    </row>
    <row r="790" spans="1:14" x14ac:dyDescent="0.25">
      <c r="A790" t="s">
        <v>465</v>
      </c>
      <c r="B790" t="s">
        <v>551</v>
      </c>
      <c r="C790" t="s">
        <v>1294</v>
      </c>
      <c r="D790">
        <v>1</v>
      </c>
      <c r="E790">
        <v>1</v>
      </c>
      <c r="F790">
        <v>757</v>
      </c>
      <c r="G790" s="14">
        <v>46099</v>
      </c>
      <c r="H790" s="14">
        <v>46133</v>
      </c>
      <c r="I790">
        <v>35</v>
      </c>
      <c r="J790" s="15">
        <v>1276</v>
      </c>
      <c r="K790" s="16">
        <f t="shared" si="24"/>
        <v>1.6856010568031705</v>
      </c>
      <c r="L790" s="15">
        <v>1004</v>
      </c>
      <c r="M790" s="16">
        <f t="shared" si="25"/>
        <v>1.3262879788639366</v>
      </c>
      <c r="N790" t="s">
        <v>376</v>
      </c>
    </row>
    <row r="791" spans="1:14" x14ac:dyDescent="0.25">
      <c r="A791" t="s">
        <v>465</v>
      </c>
      <c r="B791" t="s">
        <v>551</v>
      </c>
      <c r="C791" t="s">
        <v>1295</v>
      </c>
      <c r="D791">
        <v>1</v>
      </c>
      <c r="E791">
        <v>1</v>
      </c>
      <c r="F791">
        <v>757</v>
      </c>
      <c r="G791" s="14">
        <v>46080</v>
      </c>
      <c r="H791" s="14">
        <v>46133</v>
      </c>
      <c r="I791">
        <v>54</v>
      </c>
      <c r="J791" s="15">
        <v>1296</v>
      </c>
      <c r="K791" s="16">
        <f t="shared" si="24"/>
        <v>1.7120211360634081</v>
      </c>
      <c r="L791" s="15">
        <v>1020</v>
      </c>
      <c r="M791" s="16">
        <f t="shared" si="25"/>
        <v>1.3474240422721269</v>
      </c>
      <c r="N791" t="s">
        <v>376</v>
      </c>
    </row>
    <row r="792" spans="1:14" x14ac:dyDescent="0.25">
      <c r="A792" t="s">
        <v>465</v>
      </c>
      <c r="B792" t="s">
        <v>603</v>
      </c>
      <c r="C792" t="s">
        <v>1296</v>
      </c>
      <c r="D792">
        <v>2</v>
      </c>
      <c r="E792">
        <v>2</v>
      </c>
      <c r="F792">
        <v>1011</v>
      </c>
      <c r="G792" s="14">
        <v>46095</v>
      </c>
      <c r="H792" s="14">
        <v>46133</v>
      </c>
      <c r="I792">
        <v>39</v>
      </c>
      <c r="J792" s="15">
        <v>1306</v>
      </c>
      <c r="K792" s="16">
        <f t="shared" si="24"/>
        <v>1.2917903066271019</v>
      </c>
      <c r="L792" s="15">
        <v>1306</v>
      </c>
      <c r="M792" s="16">
        <f t="shared" si="25"/>
        <v>1.2917903066271019</v>
      </c>
      <c r="N792" t="s">
        <v>376</v>
      </c>
    </row>
    <row r="793" spans="1:14" x14ac:dyDescent="0.25">
      <c r="A793" t="s">
        <v>465</v>
      </c>
      <c r="B793" t="s">
        <v>502</v>
      </c>
      <c r="C793" t="s">
        <v>1297</v>
      </c>
      <c r="D793">
        <v>2</v>
      </c>
      <c r="E793">
        <v>2</v>
      </c>
      <c r="F793">
        <v>1011</v>
      </c>
      <c r="G793" s="14">
        <v>46092</v>
      </c>
      <c r="H793" s="14">
        <v>46133</v>
      </c>
      <c r="I793">
        <v>42</v>
      </c>
      <c r="J793" s="15">
        <v>1426</v>
      </c>
      <c r="K793" s="16">
        <f t="shared" si="24"/>
        <v>1.410484668644906</v>
      </c>
      <c r="L793" s="15">
        <v>1122</v>
      </c>
      <c r="M793" s="16">
        <f t="shared" si="25"/>
        <v>1.1097922848664687</v>
      </c>
      <c r="N793" t="s">
        <v>376</v>
      </c>
    </row>
    <row r="794" spans="1:14" x14ac:dyDescent="0.25">
      <c r="A794" t="s">
        <v>462</v>
      </c>
      <c r="B794" t="s">
        <v>470</v>
      </c>
      <c r="C794" t="s">
        <v>1298</v>
      </c>
      <c r="D794">
        <v>1</v>
      </c>
      <c r="E794">
        <v>1</v>
      </c>
      <c r="F794">
        <v>732</v>
      </c>
      <c r="G794" s="14">
        <v>46070</v>
      </c>
      <c r="H794" s="14">
        <v>46134</v>
      </c>
      <c r="I794">
        <v>65</v>
      </c>
      <c r="J794" s="15">
        <v>1650</v>
      </c>
      <c r="K794" s="16">
        <f t="shared" si="24"/>
        <v>2.2540983606557377</v>
      </c>
      <c r="L794" s="15">
        <v>1238</v>
      </c>
      <c r="M794" s="16">
        <f t="shared" si="25"/>
        <v>1.6912568306010929</v>
      </c>
      <c r="N794" t="s">
        <v>376</v>
      </c>
    </row>
    <row r="795" spans="1:14" x14ac:dyDescent="0.25">
      <c r="A795" t="s">
        <v>462</v>
      </c>
      <c r="B795" t="s">
        <v>475</v>
      </c>
      <c r="C795" t="s">
        <v>1299</v>
      </c>
      <c r="D795">
        <v>2</v>
      </c>
      <c r="E795">
        <v>2</v>
      </c>
      <c r="F795">
        <v>1029</v>
      </c>
      <c r="G795" s="14">
        <v>46126</v>
      </c>
      <c r="H795" s="14">
        <v>46134</v>
      </c>
      <c r="I795">
        <v>9</v>
      </c>
      <c r="J795" s="15">
        <v>1850</v>
      </c>
      <c r="K795" s="16">
        <f t="shared" si="24"/>
        <v>1.7978620019436347</v>
      </c>
      <c r="L795" s="15">
        <v>1388</v>
      </c>
      <c r="M795" s="16">
        <f t="shared" si="25"/>
        <v>1.3488824101068999</v>
      </c>
      <c r="N795" t="s">
        <v>376</v>
      </c>
    </row>
    <row r="796" spans="1:14" x14ac:dyDescent="0.25">
      <c r="A796" t="s">
        <v>462</v>
      </c>
      <c r="B796" t="s">
        <v>463</v>
      </c>
      <c r="C796" t="s">
        <v>1300</v>
      </c>
      <c r="D796">
        <v>2</v>
      </c>
      <c r="E796">
        <v>2</v>
      </c>
      <c r="F796">
        <v>958</v>
      </c>
      <c r="G796" s="14">
        <v>45835</v>
      </c>
      <c r="H796" s="14">
        <v>46136</v>
      </c>
      <c r="I796">
        <v>302</v>
      </c>
      <c r="J796" s="15">
        <v>1650</v>
      </c>
      <c r="K796" s="16">
        <f t="shared" si="24"/>
        <v>1.7223382045929019</v>
      </c>
      <c r="L796" s="15">
        <v>1238</v>
      </c>
      <c r="M796" s="16">
        <f t="shared" si="25"/>
        <v>1.292275574112735</v>
      </c>
      <c r="N796" t="s">
        <v>376</v>
      </c>
    </row>
    <row r="797" spans="1:14" x14ac:dyDescent="0.25">
      <c r="A797" t="s">
        <v>462</v>
      </c>
      <c r="B797" t="s">
        <v>470</v>
      </c>
      <c r="C797" t="s">
        <v>1301</v>
      </c>
      <c r="D797">
        <v>1</v>
      </c>
      <c r="E797">
        <v>1</v>
      </c>
      <c r="F797">
        <v>732</v>
      </c>
      <c r="G797" s="14">
        <v>45547</v>
      </c>
      <c r="H797" s="14">
        <v>46139</v>
      </c>
      <c r="I797">
        <v>593</v>
      </c>
      <c r="J797" s="15">
        <v>1500</v>
      </c>
      <c r="K797" s="16">
        <f t="shared" si="24"/>
        <v>2.0491803278688523</v>
      </c>
      <c r="L797" s="15">
        <v>1125</v>
      </c>
      <c r="M797" s="16">
        <f t="shared" si="25"/>
        <v>1.5368852459016393</v>
      </c>
      <c r="N797" t="s">
        <v>376</v>
      </c>
    </row>
    <row r="798" spans="1:14" x14ac:dyDescent="0.25">
      <c r="A798" t="s">
        <v>462</v>
      </c>
      <c r="B798" t="s">
        <v>530</v>
      </c>
      <c r="C798" t="s">
        <v>1302</v>
      </c>
      <c r="D798">
        <v>1</v>
      </c>
      <c r="E798">
        <v>1</v>
      </c>
      <c r="F798">
        <v>602</v>
      </c>
      <c r="G798" s="14">
        <v>45616</v>
      </c>
      <c r="H798" s="14">
        <v>46140</v>
      </c>
      <c r="I798">
        <v>525</v>
      </c>
      <c r="J798" s="15">
        <v>1450</v>
      </c>
      <c r="K798" s="16">
        <f t="shared" si="24"/>
        <v>2.4086378737541527</v>
      </c>
      <c r="L798" s="15">
        <v>1088</v>
      </c>
      <c r="M798" s="16">
        <f t="shared" si="25"/>
        <v>1.8073089700996678</v>
      </c>
      <c r="N798" t="s">
        <v>376</v>
      </c>
    </row>
    <row r="799" spans="1:14" x14ac:dyDescent="0.25">
      <c r="A799" t="s">
        <v>477</v>
      </c>
      <c r="B799" t="s">
        <v>609</v>
      </c>
      <c r="C799" t="s">
        <v>1303</v>
      </c>
      <c r="D799">
        <v>2</v>
      </c>
      <c r="E799">
        <v>2</v>
      </c>
      <c r="F799">
        <v>1050</v>
      </c>
      <c r="G799" s="14">
        <v>46049</v>
      </c>
      <c r="H799" s="14">
        <v>46141</v>
      </c>
      <c r="I799">
        <v>93</v>
      </c>
      <c r="J799" s="15">
        <v>1217</v>
      </c>
      <c r="K799" s="16">
        <f t="shared" si="24"/>
        <v>1.1590476190476191</v>
      </c>
      <c r="L799" s="15">
        <v>1217</v>
      </c>
      <c r="M799" s="16">
        <f t="shared" si="25"/>
        <v>1.1590476190476191</v>
      </c>
      <c r="N799" t="s">
        <v>376</v>
      </c>
    </row>
    <row r="800" spans="1:14" x14ac:dyDescent="0.25">
      <c r="A800" t="s">
        <v>477</v>
      </c>
      <c r="B800" t="s">
        <v>609</v>
      </c>
      <c r="C800" t="s">
        <v>1304</v>
      </c>
      <c r="D800">
        <v>2</v>
      </c>
      <c r="E800">
        <v>2</v>
      </c>
      <c r="F800">
        <v>1050</v>
      </c>
      <c r="G800" s="14">
        <v>46088</v>
      </c>
      <c r="H800" s="14">
        <v>46141</v>
      </c>
      <c r="I800">
        <v>54</v>
      </c>
      <c r="J800" s="15">
        <v>1217</v>
      </c>
      <c r="K800" s="16">
        <f t="shared" si="24"/>
        <v>1.1590476190476191</v>
      </c>
      <c r="L800" s="15">
        <v>1217</v>
      </c>
      <c r="M800" s="16">
        <f t="shared" si="25"/>
        <v>1.1590476190476191</v>
      </c>
      <c r="N800" t="s">
        <v>376</v>
      </c>
    </row>
    <row r="801" spans="1:14" x14ac:dyDescent="0.25">
      <c r="A801" t="s">
        <v>454</v>
      </c>
      <c r="B801" t="s">
        <v>481</v>
      </c>
      <c r="C801" t="s">
        <v>1305</v>
      </c>
      <c r="D801">
        <v>2</v>
      </c>
      <c r="E801">
        <v>2</v>
      </c>
      <c r="F801">
        <v>1001</v>
      </c>
      <c r="G801" s="14">
        <v>46106</v>
      </c>
      <c r="H801" s="14">
        <v>46141</v>
      </c>
      <c r="I801">
        <v>36</v>
      </c>
      <c r="J801" s="15">
        <v>1325</v>
      </c>
      <c r="K801" s="16">
        <f t="shared" si="24"/>
        <v>1.3236763236763236</v>
      </c>
      <c r="L801" s="15">
        <v>1325</v>
      </c>
      <c r="M801" s="16">
        <f t="shared" si="25"/>
        <v>1.3236763236763236</v>
      </c>
      <c r="N801" t="s">
        <v>376</v>
      </c>
    </row>
    <row r="802" spans="1:14" x14ac:dyDescent="0.25">
      <c r="A802" t="s">
        <v>486</v>
      </c>
      <c r="B802" t="s">
        <v>615</v>
      </c>
      <c r="C802" t="s">
        <v>1306</v>
      </c>
      <c r="D802">
        <v>2</v>
      </c>
      <c r="E802">
        <v>2</v>
      </c>
      <c r="F802">
        <v>1000</v>
      </c>
      <c r="G802" s="14">
        <v>45965</v>
      </c>
      <c r="H802" s="14">
        <v>46141</v>
      </c>
      <c r="I802">
        <v>177</v>
      </c>
      <c r="J802" s="15">
        <v>1371</v>
      </c>
      <c r="K802" s="16">
        <f t="shared" si="24"/>
        <v>1.371</v>
      </c>
      <c r="L802" s="15">
        <v>1013</v>
      </c>
      <c r="M802" s="16">
        <f t="shared" si="25"/>
        <v>1.0129999999999999</v>
      </c>
      <c r="N802" t="s">
        <v>376</v>
      </c>
    </row>
    <row r="803" spans="1:14" x14ac:dyDescent="0.25">
      <c r="A803" t="s">
        <v>457</v>
      </c>
      <c r="B803" t="s">
        <v>778</v>
      </c>
      <c r="C803" t="s">
        <v>1307</v>
      </c>
      <c r="D803">
        <v>1</v>
      </c>
      <c r="E803">
        <v>1</v>
      </c>
      <c r="F803">
        <v>762</v>
      </c>
      <c r="G803" s="14">
        <v>46081</v>
      </c>
      <c r="H803" s="14">
        <v>46141</v>
      </c>
      <c r="I803">
        <v>61</v>
      </c>
      <c r="J803" s="15">
        <v>1213</v>
      </c>
      <c r="K803" s="16">
        <f t="shared" si="24"/>
        <v>1.5918635170603674</v>
      </c>
      <c r="L803" s="15">
        <v>891</v>
      </c>
      <c r="M803" s="16">
        <f t="shared" si="25"/>
        <v>1.1692913385826771</v>
      </c>
      <c r="N803" t="s">
        <v>376</v>
      </c>
    </row>
    <row r="804" spans="1:14" x14ac:dyDescent="0.25">
      <c r="A804" t="s">
        <v>457</v>
      </c>
      <c r="B804" t="s">
        <v>458</v>
      </c>
      <c r="C804" t="s">
        <v>1308</v>
      </c>
      <c r="D804">
        <v>1</v>
      </c>
      <c r="E804">
        <v>1</v>
      </c>
      <c r="F804">
        <v>762</v>
      </c>
      <c r="G804" s="14">
        <v>45931</v>
      </c>
      <c r="H804" s="14">
        <v>46141</v>
      </c>
      <c r="I804">
        <v>211</v>
      </c>
      <c r="J804" s="15">
        <v>1343</v>
      </c>
      <c r="K804" s="16">
        <f t="shared" si="24"/>
        <v>1.7624671916010499</v>
      </c>
      <c r="L804" s="15">
        <v>1041</v>
      </c>
      <c r="M804" s="16">
        <f t="shared" si="25"/>
        <v>1.3661417322834646</v>
      </c>
      <c r="N804" t="s">
        <v>376</v>
      </c>
    </row>
    <row r="805" spans="1:14" x14ac:dyDescent="0.25">
      <c r="A805" t="s">
        <v>457</v>
      </c>
      <c r="B805" t="s">
        <v>562</v>
      </c>
      <c r="C805" t="s">
        <v>1309</v>
      </c>
      <c r="D805">
        <v>2</v>
      </c>
      <c r="E805">
        <v>2</v>
      </c>
      <c r="F805">
        <v>1001</v>
      </c>
      <c r="G805" s="14">
        <v>46000</v>
      </c>
      <c r="H805" s="14">
        <v>46141</v>
      </c>
      <c r="I805">
        <v>142</v>
      </c>
      <c r="J805" s="15">
        <v>1376</v>
      </c>
      <c r="K805" s="16">
        <f t="shared" si="24"/>
        <v>1.3746253746253747</v>
      </c>
      <c r="L805" s="15">
        <v>1017</v>
      </c>
      <c r="M805" s="16">
        <f t="shared" si="25"/>
        <v>1.0159840159840159</v>
      </c>
      <c r="N805" t="s">
        <v>376</v>
      </c>
    </row>
    <row r="806" spans="1:14" x14ac:dyDescent="0.25">
      <c r="A806" t="s">
        <v>465</v>
      </c>
      <c r="B806" t="s">
        <v>860</v>
      </c>
      <c r="C806" t="s">
        <v>1310</v>
      </c>
      <c r="D806">
        <v>2</v>
      </c>
      <c r="E806">
        <v>2</v>
      </c>
      <c r="F806">
        <v>1081</v>
      </c>
      <c r="G806" s="14">
        <v>46021</v>
      </c>
      <c r="H806" s="14">
        <v>46141</v>
      </c>
      <c r="I806">
        <v>121</v>
      </c>
      <c r="J806" s="15">
        <v>1386</v>
      </c>
      <c r="K806" s="16">
        <f t="shared" si="24"/>
        <v>1.2821461609620721</v>
      </c>
      <c r="L806" s="15">
        <v>1024</v>
      </c>
      <c r="M806" s="16">
        <f t="shared" si="25"/>
        <v>0.94727104532839967</v>
      </c>
      <c r="N806" t="s">
        <v>376</v>
      </c>
    </row>
    <row r="807" spans="1:14" x14ac:dyDescent="0.25">
      <c r="A807" t="s">
        <v>451</v>
      </c>
      <c r="B807" t="s">
        <v>533</v>
      </c>
      <c r="C807" t="s">
        <v>1311</v>
      </c>
      <c r="D807">
        <v>1</v>
      </c>
      <c r="E807">
        <v>1</v>
      </c>
      <c r="F807">
        <v>600</v>
      </c>
      <c r="G807" s="14">
        <v>46053</v>
      </c>
      <c r="H807" s="14">
        <v>46142</v>
      </c>
      <c r="I807">
        <v>90</v>
      </c>
      <c r="J807" s="15">
        <v>1200</v>
      </c>
      <c r="K807" s="16">
        <f t="shared" si="24"/>
        <v>2</v>
      </c>
      <c r="L807" s="15">
        <v>1100</v>
      </c>
      <c r="M807" s="16">
        <f t="shared" si="25"/>
        <v>1.8333333333333333</v>
      </c>
      <c r="N807" t="s">
        <v>376</v>
      </c>
    </row>
    <row r="808" spans="1:14" x14ac:dyDescent="0.25">
      <c r="A808" t="s">
        <v>451</v>
      </c>
      <c r="B808" t="s">
        <v>468</v>
      </c>
      <c r="C808" t="s">
        <v>1312</v>
      </c>
      <c r="D808">
        <v>2</v>
      </c>
      <c r="E808">
        <v>2</v>
      </c>
      <c r="F808">
        <v>810</v>
      </c>
      <c r="G808" s="14">
        <v>45666</v>
      </c>
      <c r="H808" s="14">
        <v>46142</v>
      </c>
      <c r="I808">
        <v>477</v>
      </c>
      <c r="J808" s="15">
        <v>1400</v>
      </c>
      <c r="K808" s="16">
        <f t="shared" si="24"/>
        <v>1.728395061728395</v>
      </c>
      <c r="L808" s="15">
        <v>1283</v>
      </c>
      <c r="M808" s="16">
        <f t="shared" si="25"/>
        <v>1.5839506172839506</v>
      </c>
      <c r="N808" t="s">
        <v>376</v>
      </c>
    </row>
    <row r="809" spans="1:14" x14ac:dyDescent="0.25">
      <c r="A809" t="s">
        <v>486</v>
      </c>
      <c r="B809" t="s">
        <v>513</v>
      </c>
      <c r="C809" t="s">
        <v>1313</v>
      </c>
      <c r="D809">
        <v>2</v>
      </c>
      <c r="E809">
        <v>2</v>
      </c>
      <c r="F809">
        <v>1000</v>
      </c>
      <c r="G809" s="14">
        <v>46092</v>
      </c>
      <c r="H809" s="14">
        <v>46143</v>
      </c>
      <c r="I809">
        <v>52</v>
      </c>
      <c r="J809" s="15">
        <v>1346</v>
      </c>
      <c r="K809" s="16">
        <f t="shared" si="24"/>
        <v>1.3460000000000001</v>
      </c>
      <c r="L809" s="15">
        <v>993</v>
      </c>
      <c r="M809" s="16">
        <f t="shared" si="25"/>
        <v>0.99299999999999999</v>
      </c>
      <c r="N809" t="s">
        <v>405</v>
      </c>
    </row>
    <row r="810" spans="1:14" x14ac:dyDescent="0.25">
      <c r="A810" t="s">
        <v>465</v>
      </c>
      <c r="B810" t="s">
        <v>603</v>
      </c>
      <c r="C810" t="s">
        <v>1314</v>
      </c>
      <c r="D810">
        <v>2</v>
      </c>
      <c r="E810">
        <v>2</v>
      </c>
      <c r="F810">
        <v>1011</v>
      </c>
      <c r="G810" s="14">
        <v>46094</v>
      </c>
      <c r="H810" s="14">
        <v>46143</v>
      </c>
      <c r="I810">
        <v>50</v>
      </c>
      <c r="J810" s="15">
        <v>1299</v>
      </c>
      <c r="K810" s="16">
        <f t="shared" si="24"/>
        <v>1.28486646884273</v>
      </c>
      <c r="L810" s="15">
        <v>957</v>
      </c>
      <c r="M810" s="16">
        <f t="shared" si="25"/>
        <v>0.94658753709198817</v>
      </c>
      <c r="N810" t="s">
        <v>405</v>
      </c>
    </row>
    <row r="811" spans="1:14" x14ac:dyDescent="0.25">
      <c r="A811" t="s">
        <v>465</v>
      </c>
      <c r="B811" t="s">
        <v>1315</v>
      </c>
      <c r="C811" t="s">
        <v>1316</v>
      </c>
      <c r="D811">
        <v>3</v>
      </c>
      <c r="E811">
        <v>2</v>
      </c>
      <c r="F811">
        <v>1181</v>
      </c>
      <c r="G811" s="14">
        <v>46093</v>
      </c>
      <c r="H811" s="14">
        <v>46143</v>
      </c>
      <c r="I811">
        <v>51</v>
      </c>
      <c r="J811" s="15">
        <v>1669</v>
      </c>
      <c r="K811" s="16">
        <f t="shared" si="24"/>
        <v>1.4132091447925488</v>
      </c>
      <c r="L811" s="15">
        <v>1275</v>
      </c>
      <c r="M811" s="16">
        <f t="shared" si="25"/>
        <v>1.0795935647756139</v>
      </c>
      <c r="N811" t="s">
        <v>405</v>
      </c>
    </row>
    <row r="812" spans="1:14" x14ac:dyDescent="0.25">
      <c r="A812" t="s">
        <v>454</v>
      </c>
      <c r="B812" t="s">
        <v>455</v>
      </c>
      <c r="C812" t="s">
        <v>1317</v>
      </c>
      <c r="D812">
        <v>2</v>
      </c>
      <c r="E812">
        <v>2</v>
      </c>
      <c r="F812">
        <v>1001</v>
      </c>
      <c r="G812" s="14">
        <v>46119</v>
      </c>
      <c r="H812" s="14">
        <v>46144</v>
      </c>
      <c r="I812">
        <v>26</v>
      </c>
      <c r="J812" s="15">
        <v>1350</v>
      </c>
      <c r="K812" s="16">
        <f t="shared" si="24"/>
        <v>1.3486513486513487</v>
      </c>
      <c r="L812" s="15">
        <v>1350</v>
      </c>
      <c r="M812" s="16">
        <f t="shared" si="25"/>
        <v>1.3486513486513487</v>
      </c>
      <c r="N812" t="s">
        <v>405</v>
      </c>
    </row>
    <row r="813" spans="1:14" x14ac:dyDescent="0.25">
      <c r="A813" t="s">
        <v>454</v>
      </c>
      <c r="B813" t="s">
        <v>481</v>
      </c>
      <c r="C813" t="s">
        <v>1318</v>
      </c>
      <c r="D813">
        <v>2</v>
      </c>
      <c r="E813">
        <v>2</v>
      </c>
      <c r="F813">
        <v>1001</v>
      </c>
      <c r="G813" s="14">
        <v>46126</v>
      </c>
      <c r="H813" s="14">
        <v>46144</v>
      </c>
      <c r="I813">
        <v>19</v>
      </c>
      <c r="J813" s="15">
        <v>1665</v>
      </c>
      <c r="K813" s="16">
        <f t="shared" si="24"/>
        <v>1.6633366633366633</v>
      </c>
      <c r="L813" s="15">
        <v>1665</v>
      </c>
      <c r="M813" s="16">
        <f t="shared" si="25"/>
        <v>1.6633366633366633</v>
      </c>
      <c r="N813" t="s">
        <v>405</v>
      </c>
    </row>
    <row r="814" spans="1:14" x14ac:dyDescent="0.25">
      <c r="A814" t="s">
        <v>465</v>
      </c>
      <c r="B814" t="s">
        <v>593</v>
      </c>
      <c r="C814" t="s">
        <v>1319</v>
      </c>
      <c r="D814">
        <v>3</v>
      </c>
      <c r="E814">
        <v>2</v>
      </c>
      <c r="F814">
        <v>1181</v>
      </c>
      <c r="G814" s="14">
        <v>46099</v>
      </c>
      <c r="H814" s="14">
        <v>46144</v>
      </c>
      <c r="I814">
        <v>46</v>
      </c>
      <c r="J814" s="15">
        <v>1689</v>
      </c>
      <c r="K814" s="16">
        <f t="shared" si="24"/>
        <v>1.4301439458086367</v>
      </c>
      <c r="L814" s="15">
        <v>1290</v>
      </c>
      <c r="M814" s="16">
        <f t="shared" si="25"/>
        <v>1.09229466553768</v>
      </c>
      <c r="N814" t="s">
        <v>405</v>
      </c>
    </row>
    <row r="815" spans="1:14" x14ac:dyDescent="0.25">
      <c r="A815" t="s">
        <v>472</v>
      </c>
      <c r="B815" t="s">
        <v>496</v>
      </c>
      <c r="C815" t="s">
        <v>1320</v>
      </c>
      <c r="D815">
        <v>1</v>
      </c>
      <c r="E815">
        <v>1</v>
      </c>
      <c r="F815">
        <v>625</v>
      </c>
      <c r="G815" s="14">
        <v>46084</v>
      </c>
      <c r="H815" s="14">
        <v>46145</v>
      </c>
      <c r="I815">
        <v>62</v>
      </c>
      <c r="J815" s="15">
        <v>1098</v>
      </c>
      <c r="K815" s="16">
        <f t="shared" si="24"/>
        <v>1.7567999999999999</v>
      </c>
      <c r="L815" s="15">
        <v>929</v>
      </c>
      <c r="M815" s="16">
        <f t="shared" si="25"/>
        <v>1.4863999999999999</v>
      </c>
      <c r="N815" t="s">
        <v>405</v>
      </c>
    </row>
    <row r="816" spans="1:14" x14ac:dyDescent="0.25">
      <c r="A816" t="s">
        <v>472</v>
      </c>
      <c r="B816" t="s">
        <v>473</v>
      </c>
      <c r="C816" t="s">
        <v>1321</v>
      </c>
      <c r="D816">
        <v>2</v>
      </c>
      <c r="E816">
        <v>1</v>
      </c>
      <c r="F816">
        <v>800</v>
      </c>
      <c r="G816" s="14">
        <v>46038</v>
      </c>
      <c r="H816" s="14">
        <v>46145</v>
      </c>
      <c r="I816">
        <v>108</v>
      </c>
      <c r="J816" s="15">
        <v>1248</v>
      </c>
      <c r="K816" s="16">
        <f t="shared" si="24"/>
        <v>1.56</v>
      </c>
      <c r="L816" s="15">
        <v>1056</v>
      </c>
      <c r="M816" s="16">
        <f t="shared" si="25"/>
        <v>1.32</v>
      </c>
      <c r="N816" t="s">
        <v>405</v>
      </c>
    </row>
    <row r="817" spans="1:14" x14ac:dyDescent="0.25">
      <c r="A817" t="s">
        <v>465</v>
      </c>
      <c r="B817" t="s">
        <v>672</v>
      </c>
      <c r="C817" t="s">
        <v>1322</v>
      </c>
      <c r="D817">
        <v>1</v>
      </c>
      <c r="E817">
        <v>1</v>
      </c>
      <c r="F817">
        <v>532</v>
      </c>
      <c r="G817" s="14">
        <v>46102</v>
      </c>
      <c r="H817" s="14">
        <v>46146</v>
      </c>
      <c r="I817">
        <v>45</v>
      </c>
      <c r="J817" s="15">
        <v>1016</v>
      </c>
      <c r="K817" s="16">
        <f t="shared" si="24"/>
        <v>1.9097744360902256</v>
      </c>
      <c r="L817" s="15">
        <v>740</v>
      </c>
      <c r="M817" s="16">
        <f t="shared" si="25"/>
        <v>1.3909774436090225</v>
      </c>
      <c r="N817" t="s">
        <v>405</v>
      </c>
    </row>
    <row r="818" spans="1:14" x14ac:dyDescent="0.25">
      <c r="A818" t="s">
        <v>462</v>
      </c>
      <c r="B818" t="s">
        <v>470</v>
      </c>
      <c r="C818" t="s">
        <v>1323</v>
      </c>
      <c r="D818">
        <v>1</v>
      </c>
      <c r="E818">
        <v>1</v>
      </c>
      <c r="F818">
        <v>732</v>
      </c>
      <c r="G818" s="14">
        <v>45934</v>
      </c>
      <c r="H818" s="14">
        <v>46147</v>
      </c>
      <c r="I818">
        <v>214</v>
      </c>
      <c r="J818" s="15">
        <v>1450</v>
      </c>
      <c r="K818" s="16">
        <f t="shared" si="24"/>
        <v>1.9808743169398908</v>
      </c>
      <c r="L818" s="15">
        <v>1088</v>
      </c>
      <c r="M818" s="16">
        <f t="shared" si="25"/>
        <v>1.4863387978142077</v>
      </c>
      <c r="N818" t="s">
        <v>405</v>
      </c>
    </row>
    <row r="819" spans="1:14" x14ac:dyDescent="0.25">
      <c r="A819" t="s">
        <v>472</v>
      </c>
      <c r="B819" t="s">
        <v>496</v>
      </c>
      <c r="C819" t="s">
        <v>1324</v>
      </c>
      <c r="D819">
        <v>1</v>
      </c>
      <c r="E819">
        <v>1</v>
      </c>
      <c r="F819">
        <v>625</v>
      </c>
      <c r="G819" s="14">
        <v>46095</v>
      </c>
      <c r="H819" s="14">
        <v>46147</v>
      </c>
      <c r="I819">
        <v>53</v>
      </c>
      <c r="J819" s="15">
        <v>1098</v>
      </c>
      <c r="K819" s="16">
        <f t="shared" si="24"/>
        <v>1.7567999999999999</v>
      </c>
      <c r="L819" s="15">
        <v>929</v>
      </c>
      <c r="M819" s="16">
        <f t="shared" si="25"/>
        <v>1.4863999999999999</v>
      </c>
      <c r="N819" t="s">
        <v>405</v>
      </c>
    </row>
    <row r="820" spans="1:14" x14ac:dyDescent="0.25">
      <c r="A820" t="s">
        <v>457</v>
      </c>
      <c r="B820" t="s">
        <v>1037</v>
      </c>
      <c r="C820" t="s">
        <v>1325</v>
      </c>
      <c r="D820">
        <v>1</v>
      </c>
      <c r="E820">
        <v>1</v>
      </c>
      <c r="F820">
        <v>541</v>
      </c>
      <c r="G820" s="14">
        <v>46077</v>
      </c>
      <c r="H820" s="14">
        <v>46147</v>
      </c>
      <c r="I820">
        <v>71</v>
      </c>
      <c r="J820" s="15">
        <v>1158</v>
      </c>
      <c r="K820" s="16">
        <f t="shared" si="24"/>
        <v>2.1404805914972274</v>
      </c>
      <c r="L820" s="15">
        <v>873</v>
      </c>
      <c r="M820" s="16">
        <f t="shared" si="25"/>
        <v>1.6136783733826248</v>
      </c>
      <c r="N820" t="s">
        <v>405</v>
      </c>
    </row>
    <row r="821" spans="1:14" x14ac:dyDescent="0.25">
      <c r="A821" t="s">
        <v>462</v>
      </c>
      <c r="B821" t="s">
        <v>470</v>
      </c>
      <c r="C821" t="s">
        <v>1326</v>
      </c>
      <c r="D821">
        <v>1</v>
      </c>
      <c r="E821">
        <v>1</v>
      </c>
      <c r="F821">
        <v>732</v>
      </c>
      <c r="G821" s="14">
        <v>46112</v>
      </c>
      <c r="H821" s="14">
        <v>46148</v>
      </c>
      <c r="I821">
        <v>37</v>
      </c>
      <c r="J821" s="15">
        <v>1450</v>
      </c>
      <c r="K821" s="16">
        <f t="shared" si="24"/>
        <v>1.9808743169398908</v>
      </c>
      <c r="L821" s="15">
        <v>1088</v>
      </c>
      <c r="M821" s="16">
        <f t="shared" si="25"/>
        <v>1.4863387978142077</v>
      </c>
      <c r="N821" t="s">
        <v>405</v>
      </c>
    </row>
    <row r="822" spans="1:14" x14ac:dyDescent="0.25">
      <c r="A822" t="s">
        <v>454</v>
      </c>
      <c r="B822" t="s">
        <v>455</v>
      </c>
      <c r="C822" t="s">
        <v>1327</v>
      </c>
      <c r="D822">
        <v>2</v>
      </c>
      <c r="E822">
        <v>2</v>
      </c>
      <c r="F822">
        <v>1001</v>
      </c>
      <c r="G822" s="14">
        <v>46127</v>
      </c>
      <c r="H822" s="14">
        <v>46148</v>
      </c>
      <c r="I822">
        <v>22</v>
      </c>
      <c r="J822" s="15">
        <v>1350</v>
      </c>
      <c r="K822" s="16">
        <f t="shared" si="24"/>
        <v>1.3486513486513487</v>
      </c>
      <c r="L822" s="15">
        <v>1350</v>
      </c>
      <c r="M822" s="16">
        <f t="shared" si="25"/>
        <v>1.3486513486513487</v>
      </c>
      <c r="N822" t="s">
        <v>405</v>
      </c>
    </row>
    <row r="823" spans="1:14" x14ac:dyDescent="0.25">
      <c r="A823" t="s">
        <v>472</v>
      </c>
      <c r="B823" t="s">
        <v>473</v>
      </c>
      <c r="C823" t="s">
        <v>1328</v>
      </c>
      <c r="D823">
        <v>2</v>
      </c>
      <c r="E823">
        <v>1</v>
      </c>
      <c r="F823">
        <v>800</v>
      </c>
      <c r="G823" s="14">
        <v>46118</v>
      </c>
      <c r="H823" s="14">
        <v>46148</v>
      </c>
      <c r="I823">
        <v>31</v>
      </c>
      <c r="J823" s="15">
        <v>1348</v>
      </c>
      <c r="K823" s="16">
        <f t="shared" si="24"/>
        <v>1.6850000000000001</v>
      </c>
      <c r="L823" s="15">
        <v>1141</v>
      </c>
      <c r="M823" s="16">
        <f t="shared" si="25"/>
        <v>1.42625</v>
      </c>
      <c r="N823" t="s">
        <v>405</v>
      </c>
    </row>
    <row r="824" spans="1:14" x14ac:dyDescent="0.25">
      <c r="A824" t="s">
        <v>486</v>
      </c>
      <c r="B824" t="s">
        <v>591</v>
      </c>
      <c r="C824" t="s">
        <v>1329</v>
      </c>
      <c r="D824">
        <v>2</v>
      </c>
      <c r="E824">
        <v>1</v>
      </c>
      <c r="F824">
        <v>860</v>
      </c>
      <c r="G824" s="14">
        <v>45869</v>
      </c>
      <c r="H824" s="14">
        <v>46148</v>
      </c>
      <c r="I824">
        <v>280</v>
      </c>
      <c r="J824" s="15">
        <v>1472</v>
      </c>
      <c r="K824" s="16">
        <f t="shared" si="24"/>
        <v>1.7116279069767442</v>
      </c>
      <c r="L824" s="15">
        <v>1090</v>
      </c>
      <c r="M824" s="16">
        <f t="shared" si="25"/>
        <v>1.2674418604651163</v>
      </c>
      <c r="N824" t="s">
        <v>405</v>
      </c>
    </row>
    <row r="825" spans="1:14" x14ac:dyDescent="0.25">
      <c r="A825" t="s">
        <v>451</v>
      </c>
      <c r="B825" t="s">
        <v>460</v>
      </c>
      <c r="C825" t="s">
        <v>1069</v>
      </c>
      <c r="D825">
        <v>1</v>
      </c>
      <c r="E825">
        <v>1</v>
      </c>
      <c r="F825">
        <v>726</v>
      </c>
      <c r="G825" s="14">
        <v>46126</v>
      </c>
      <c r="H825" s="14">
        <v>46149</v>
      </c>
      <c r="I825">
        <v>24</v>
      </c>
      <c r="J825" s="15">
        <v>1200</v>
      </c>
      <c r="K825" s="16">
        <f t="shared" si="24"/>
        <v>1.6528925619834711</v>
      </c>
      <c r="L825" s="15">
        <v>1100</v>
      </c>
      <c r="M825" s="16">
        <f t="shared" si="25"/>
        <v>1.5151515151515151</v>
      </c>
      <c r="N825" t="s">
        <v>405</v>
      </c>
    </row>
    <row r="826" spans="1:14" x14ac:dyDescent="0.25">
      <c r="A826" t="s">
        <v>451</v>
      </c>
      <c r="B826" t="s">
        <v>468</v>
      </c>
      <c r="C826" t="s">
        <v>506</v>
      </c>
      <c r="D826">
        <v>2</v>
      </c>
      <c r="E826">
        <v>2</v>
      </c>
      <c r="F826">
        <v>810</v>
      </c>
      <c r="G826" s="14">
        <v>45902</v>
      </c>
      <c r="H826" s="14">
        <v>46149</v>
      </c>
      <c r="I826">
        <v>248</v>
      </c>
      <c r="J826" s="15">
        <v>1450</v>
      </c>
      <c r="K826" s="16">
        <f t="shared" si="24"/>
        <v>1.7901234567901234</v>
      </c>
      <c r="L826" s="15">
        <v>1329</v>
      </c>
      <c r="M826" s="16">
        <f t="shared" si="25"/>
        <v>1.6407407407407408</v>
      </c>
      <c r="N826" t="s">
        <v>405</v>
      </c>
    </row>
    <row r="827" spans="1:14" x14ac:dyDescent="0.25">
      <c r="A827" t="s">
        <v>451</v>
      </c>
      <c r="B827" t="s">
        <v>468</v>
      </c>
      <c r="C827" t="s">
        <v>1330</v>
      </c>
      <c r="D827">
        <v>2</v>
      </c>
      <c r="E827">
        <v>2</v>
      </c>
      <c r="F827">
        <v>810</v>
      </c>
      <c r="G827" s="14">
        <v>46038</v>
      </c>
      <c r="H827" s="14">
        <v>46149</v>
      </c>
      <c r="I827">
        <v>112</v>
      </c>
      <c r="J827" s="15">
        <v>1525</v>
      </c>
      <c r="K827" s="16">
        <f t="shared" si="24"/>
        <v>1.882716049382716</v>
      </c>
      <c r="L827" s="15">
        <v>1398</v>
      </c>
      <c r="M827" s="16">
        <f t="shared" si="25"/>
        <v>1.7259259259259259</v>
      </c>
      <c r="N827" t="s">
        <v>405</v>
      </c>
    </row>
    <row r="828" spans="1:14" x14ac:dyDescent="0.25">
      <c r="A828" t="s">
        <v>462</v>
      </c>
      <c r="B828" t="s">
        <v>470</v>
      </c>
      <c r="C828" t="s">
        <v>1331</v>
      </c>
      <c r="D828">
        <v>1</v>
      </c>
      <c r="E828">
        <v>1</v>
      </c>
      <c r="F828">
        <v>732</v>
      </c>
      <c r="G828" s="14">
        <v>45980</v>
      </c>
      <c r="H828" s="14">
        <v>46149</v>
      </c>
      <c r="I828">
        <v>170</v>
      </c>
      <c r="J828" s="15">
        <v>1450</v>
      </c>
      <c r="K828" s="16">
        <f t="shared" si="24"/>
        <v>1.9808743169398908</v>
      </c>
      <c r="L828" s="15">
        <v>1088</v>
      </c>
      <c r="M828" s="16">
        <f t="shared" si="25"/>
        <v>1.4863387978142077</v>
      </c>
      <c r="N828" t="s">
        <v>405</v>
      </c>
    </row>
    <row r="829" spans="1:14" x14ac:dyDescent="0.25">
      <c r="A829" t="s">
        <v>462</v>
      </c>
      <c r="B829" t="s">
        <v>470</v>
      </c>
      <c r="C829" t="s">
        <v>948</v>
      </c>
      <c r="D829">
        <v>1</v>
      </c>
      <c r="E829">
        <v>1</v>
      </c>
      <c r="F829">
        <v>732</v>
      </c>
      <c r="G829" s="14">
        <v>46070</v>
      </c>
      <c r="H829" s="14">
        <v>46149</v>
      </c>
      <c r="I829">
        <v>80</v>
      </c>
      <c r="J829" s="15">
        <v>1500</v>
      </c>
      <c r="K829" s="16">
        <f t="shared" si="24"/>
        <v>2.0491803278688523</v>
      </c>
      <c r="L829" s="15">
        <v>1125</v>
      </c>
      <c r="M829" s="16">
        <f t="shared" si="25"/>
        <v>1.5368852459016393</v>
      </c>
      <c r="N829" t="s">
        <v>405</v>
      </c>
    </row>
    <row r="830" spans="1:14" x14ac:dyDescent="0.25">
      <c r="A830" t="s">
        <v>486</v>
      </c>
      <c r="B830" t="s">
        <v>487</v>
      </c>
      <c r="C830" t="s">
        <v>1332</v>
      </c>
      <c r="D830">
        <v>2</v>
      </c>
      <c r="E830">
        <v>2</v>
      </c>
      <c r="F830">
        <v>1000</v>
      </c>
      <c r="G830" s="14">
        <v>46079</v>
      </c>
      <c r="H830" s="14">
        <v>46149</v>
      </c>
      <c r="I830">
        <v>71</v>
      </c>
      <c r="J830" s="15">
        <v>1291</v>
      </c>
      <c r="K830" s="16">
        <f t="shared" si="24"/>
        <v>1.2909999999999999</v>
      </c>
      <c r="L830" s="15">
        <v>893</v>
      </c>
      <c r="M830" s="16">
        <f t="shared" si="25"/>
        <v>0.89300000000000002</v>
      </c>
      <c r="N830" t="s">
        <v>405</v>
      </c>
    </row>
    <row r="831" spans="1:14" x14ac:dyDescent="0.25">
      <c r="A831" t="s">
        <v>486</v>
      </c>
      <c r="B831" t="s">
        <v>615</v>
      </c>
      <c r="C831" t="s">
        <v>1333</v>
      </c>
      <c r="D831">
        <v>2</v>
      </c>
      <c r="E831">
        <v>2</v>
      </c>
      <c r="F831">
        <v>1000</v>
      </c>
      <c r="G831" s="14">
        <v>45644</v>
      </c>
      <c r="H831" s="14">
        <v>46149</v>
      </c>
      <c r="I831">
        <v>506</v>
      </c>
      <c r="J831" s="15">
        <v>1461</v>
      </c>
      <c r="K831" s="16">
        <f t="shared" si="24"/>
        <v>1.4610000000000001</v>
      </c>
      <c r="L831" s="15">
        <v>1011</v>
      </c>
      <c r="M831" s="16">
        <f t="shared" si="25"/>
        <v>1.0109999999999999</v>
      </c>
      <c r="N831" t="s">
        <v>405</v>
      </c>
    </row>
    <row r="832" spans="1:14" x14ac:dyDescent="0.25">
      <c r="A832" t="s">
        <v>457</v>
      </c>
      <c r="B832" t="s">
        <v>1037</v>
      </c>
      <c r="C832" t="s">
        <v>1334</v>
      </c>
      <c r="D832">
        <v>1</v>
      </c>
      <c r="E832">
        <v>1</v>
      </c>
      <c r="F832">
        <v>541</v>
      </c>
      <c r="G832" s="14">
        <v>46140</v>
      </c>
      <c r="H832" s="14">
        <v>46149</v>
      </c>
      <c r="I832">
        <v>10</v>
      </c>
      <c r="J832" s="15">
        <v>1178</v>
      </c>
      <c r="K832" s="16">
        <f t="shared" si="24"/>
        <v>2.1774491682070241</v>
      </c>
      <c r="L832" s="15">
        <v>1178</v>
      </c>
      <c r="M832" s="16">
        <f t="shared" si="25"/>
        <v>2.1774491682070241</v>
      </c>
      <c r="N832" t="s">
        <v>405</v>
      </c>
    </row>
    <row r="833" spans="1:14" x14ac:dyDescent="0.25">
      <c r="A833" t="s">
        <v>465</v>
      </c>
      <c r="B833" t="s">
        <v>984</v>
      </c>
      <c r="C833" t="s">
        <v>1335</v>
      </c>
      <c r="D833">
        <v>1</v>
      </c>
      <c r="E833">
        <v>1</v>
      </c>
      <c r="F833">
        <v>532</v>
      </c>
      <c r="G833" s="14">
        <v>45909</v>
      </c>
      <c r="H833" s="14">
        <v>46149</v>
      </c>
      <c r="I833">
        <v>241</v>
      </c>
      <c r="J833" s="15">
        <v>1126</v>
      </c>
      <c r="K833" s="16">
        <f t="shared" si="24"/>
        <v>2.1165413533834587</v>
      </c>
      <c r="L833" s="15">
        <v>1126</v>
      </c>
      <c r="M833" s="16">
        <f t="shared" si="25"/>
        <v>2.1165413533834587</v>
      </c>
      <c r="N833" t="s">
        <v>405</v>
      </c>
    </row>
    <row r="834" spans="1:14" x14ac:dyDescent="0.25">
      <c r="A834" t="s">
        <v>465</v>
      </c>
      <c r="B834" t="s">
        <v>603</v>
      </c>
      <c r="C834" t="s">
        <v>1336</v>
      </c>
      <c r="D834">
        <v>2</v>
      </c>
      <c r="E834">
        <v>2</v>
      </c>
      <c r="F834">
        <v>1011</v>
      </c>
      <c r="G834" s="14">
        <v>46081</v>
      </c>
      <c r="H834" s="14">
        <v>46149</v>
      </c>
      <c r="I834">
        <v>69</v>
      </c>
      <c r="J834" s="15">
        <v>1324</v>
      </c>
      <c r="K834" s="16">
        <f t="shared" ref="K834:K897" si="26">IFERROR(J834/F834,0)</f>
        <v>1.3095944609297725</v>
      </c>
      <c r="L834" s="15">
        <v>916</v>
      </c>
      <c r="M834" s="16">
        <f t="shared" ref="M834:M897" si="27">IFERROR(L834/F834,0)</f>
        <v>0.90603363006923843</v>
      </c>
      <c r="N834" t="s">
        <v>405</v>
      </c>
    </row>
    <row r="835" spans="1:14" x14ac:dyDescent="0.25">
      <c r="A835" t="s">
        <v>465</v>
      </c>
      <c r="B835" t="s">
        <v>601</v>
      </c>
      <c r="C835" t="s">
        <v>1337</v>
      </c>
      <c r="D835">
        <v>2</v>
      </c>
      <c r="E835">
        <v>2</v>
      </c>
      <c r="F835">
        <v>1081</v>
      </c>
      <c r="G835" s="14">
        <v>45982</v>
      </c>
      <c r="H835" s="14">
        <v>46149</v>
      </c>
      <c r="I835">
        <v>168</v>
      </c>
      <c r="J835" s="15">
        <v>1514</v>
      </c>
      <c r="K835" s="16">
        <f t="shared" si="26"/>
        <v>1.4005550416281221</v>
      </c>
      <c r="L835" s="15">
        <v>1048</v>
      </c>
      <c r="M835" s="16">
        <f t="shared" si="27"/>
        <v>0.96947271045328398</v>
      </c>
      <c r="N835" t="s">
        <v>405</v>
      </c>
    </row>
    <row r="836" spans="1:14" x14ac:dyDescent="0.25">
      <c r="A836" t="s">
        <v>477</v>
      </c>
      <c r="B836" t="s">
        <v>609</v>
      </c>
      <c r="C836" t="s">
        <v>1338</v>
      </c>
      <c r="D836">
        <v>2</v>
      </c>
      <c r="E836">
        <v>2</v>
      </c>
      <c r="F836">
        <v>1050</v>
      </c>
      <c r="G836" s="14">
        <v>46099</v>
      </c>
      <c r="H836" s="14">
        <v>46153</v>
      </c>
      <c r="I836">
        <v>55</v>
      </c>
      <c r="J836" s="15">
        <v>1217</v>
      </c>
      <c r="K836" s="16">
        <f t="shared" si="26"/>
        <v>1.1590476190476191</v>
      </c>
      <c r="L836" s="15">
        <v>1217</v>
      </c>
      <c r="M836" s="16">
        <f t="shared" si="27"/>
        <v>1.1590476190476191</v>
      </c>
      <c r="N836" t="s">
        <v>405</v>
      </c>
    </row>
    <row r="837" spans="1:14" x14ac:dyDescent="0.25">
      <c r="A837" t="s">
        <v>462</v>
      </c>
      <c r="B837" t="s">
        <v>475</v>
      </c>
      <c r="C837" t="s">
        <v>1339</v>
      </c>
      <c r="D837">
        <v>2</v>
      </c>
      <c r="E837">
        <v>2</v>
      </c>
      <c r="F837">
        <v>1029</v>
      </c>
      <c r="G837" s="14">
        <v>46094</v>
      </c>
      <c r="H837" s="14">
        <v>46153</v>
      </c>
      <c r="I837">
        <v>60</v>
      </c>
      <c r="J837" s="15">
        <v>1600</v>
      </c>
      <c r="K837" s="16">
        <f t="shared" si="26"/>
        <v>1.554907677356657</v>
      </c>
      <c r="L837" s="15">
        <v>1200</v>
      </c>
      <c r="M837" s="16">
        <f t="shared" si="27"/>
        <v>1.1661807580174928</v>
      </c>
      <c r="N837" t="s">
        <v>405</v>
      </c>
    </row>
    <row r="838" spans="1:14" x14ac:dyDescent="0.25">
      <c r="A838" t="s">
        <v>472</v>
      </c>
      <c r="B838" t="s">
        <v>496</v>
      </c>
      <c r="C838" t="s">
        <v>1340</v>
      </c>
      <c r="D838">
        <v>1</v>
      </c>
      <c r="E838">
        <v>1</v>
      </c>
      <c r="F838">
        <v>625</v>
      </c>
      <c r="G838" s="14">
        <v>46102</v>
      </c>
      <c r="H838" s="14">
        <v>46153</v>
      </c>
      <c r="I838">
        <v>52</v>
      </c>
      <c r="J838" s="15">
        <v>1198</v>
      </c>
      <c r="K838" s="16">
        <f t="shared" si="26"/>
        <v>1.9168000000000001</v>
      </c>
      <c r="L838" s="15">
        <v>1014</v>
      </c>
      <c r="M838" s="16">
        <f t="shared" si="27"/>
        <v>1.6224000000000001</v>
      </c>
      <c r="N838" t="s">
        <v>405</v>
      </c>
    </row>
    <row r="839" spans="1:14" x14ac:dyDescent="0.25">
      <c r="A839" t="s">
        <v>472</v>
      </c>
      <c r="B839" t="s">
        <v>473</v>
      </c>
      <c r="C839" t="s">
        <v>1341</v>
      </c>
      <c r="D839">
        <v>2</v>
      </c>
      <c r="E839">
        <v>1</v>
      </c>
      <c r="F839">
        <v>800</v>
      </c>
      <c r="G839" s="14">
        <v>46143</v>
      </c>
      <c r="H839" s="14">
        <v>46153</v>
      </c>
      <c r="I839">
        <v>11</v>
      </c>
      <c r="J839" s="15">
        <v>1248</v>
      </c>
      <c r="K839" s="16">
        <f t="shared" si="26"/>
        <v>1.56</v>
      </c>
      <c r="L839" s="15">
        <v>1040</v>
      </c>
      <c r="M839" s="16">
        <f t="shared" si="27"/>
        <v>1.3</v>
      </c>
      <c r="N839" t="s">
        <v>405</v>
      </c>
    </row>
    <row r="840" spans="1:14" x14ac:dyDescent="0.25">
      <c r="A840" t="s">
        <v>472</v>
      </c>
      <c r="B840" t="s">
        <v>473</v>
      </c>
      <c r="C840" t="s">
        <v>1342</v>
      </c>
      <c r="D840">
        <v>2</v>
      </c>
      <c r="E840">
        <v>1</v>
      </c>
      <c r="F840">
        <v>800</v>
      </c>
      <c r="G840" s="14">
        <v>46108</v>
      </c>
      <c r="H840" s="14">
        <v>46153</v>
      </c>
      <c r="I840">
        <v>46</v>
      </c>
      <c r="J840" s="15">
        <v>1248</v>
      </c>
      <c r="K840" s="16">
        <f t="shared" si="26"/>
        <v>1.56</v>
      </c>
      <c r="L840" s="15">
        <v>1056</v>
      </c>
      <c r="M840" s="16">
        <f t="shared" si="27"/>
        <v>1.32</v>
      </c>
      <c r="N840" t="s">
        <v>405</v>
      </c>
    </row>
    <row r="841" spans="1:14" x14ac:dyDescent="0.25">
      <c r="A841" t="s">
        <v>486</v>
      </c>
      <c r="B841" t="s">
        <v>581</v>
      </c>
      <c r="C841" t="s">
        <v>1343</v>
      </c>
      <c r="D841">
        <v>1</v>
      </c>
      <c r="E841">
        <v>1</v>
      </c>
      <c r="F841">
        <v>650</v>
      </c>
      <c r="G841" s="14">
        <v>45933</v>
      </c>
      <c r="H841" s="14">
        <v>46153</v>
      </c>
      <c r="I841">
        <v>221</v>
      </c>
      <c r="J841" s="15">
        <v>1115</v>
      </c>
      <c r="K841" s="16">
        <f t="shared" si="26"/>
        <v>1.7153846153846153</v>
      </c>
      <c r="L841" s="15">
        <v>840</v>
      </c>
      <c r="M841" s="16">
        <f t="shared" si="27"/>
        <v>1.2923076923076924</v>
      </c>
      <c r="N841" t="s">
        <v>405</v>
      </c>
    </row>
    <row r="842" spans="1:14" x14ac:dyDescent="0.25">
      <c r="A842" t="s">
        <v>465</v>
      </c>
      <c r="B842" t="s">
        <v>672</v>
      </c>
      <c r="C842" t="s">
        <v>1344</v>
      </c>
      <c r="D842">
        <v>1</v>
      </c>
      <c r="E842">
        <v>1</v>
      </c>
      <c r="F842">
        <v>532</v>
      </c>
      <c r="G842" s="14">
        <v>46145</v>
      </c>
      <c r="H842" s="14">
        <v>46153</v>
      </c>
      <c r="I842">
        <v>9</v>
      </c>
      <c r="J842" s="15">
        <v>971</v>
      </c>
      <c r="K842" s="16">
        <f t="shared" si="26"/>
        <v>1.8251879699248121</v>
      </c>
      <c r="L842" s="15">
        <v>695</v>
      </c>
      <c r="M842" s="16">
        <f t="shared" si="27"/>
        <v>1.3063909774436091</v>
      </c>
      <c r="N842" t="s">
        <v>405</v>
      </c>
    </row>
    <row r="843" spans="1:14" x14ac:dyDescent="0.25">
      <c r="A843" t="s">
        <v>465</v>
      </c>
      <c r="B843" t="s">
        <v>984</v>
      </c>
      <c r="C843" t="s">
        <v>1345</v>
      </c>
      <c r="D843">
        <v>1</v>
      </c>
      <c r="E843">
        <v>1</v>
      </c>
      <c r="F843">
        <v>532</v>
      </c>
      <c r="G843" s="14">
        <v>46140</v>
      </c>
      <c r="H843" s="14">
        <v>46153</v>
      </c>
      <c r="I843">
        <v>14</v>
      </c>
      <c r="J843" s="15">
        <v>1071</v>
      </c>
      <c r="K843" s="16">
        <f t="shared" si="26"/>
        <v>2.013157894736842</v>
      </c>
      <c r="L843" s="15">
        <v>1071</v>
      </c>
      <c r="M843" s="16">
        <f t="shared" si="27"/>
        <v>2.013157894736842</v>
      </c>
      <c r="N843" t="s">
        <v>405</v>
      </c>
    </row>
    <row r="844" spans="1:14" x14ac:dyDescent="0.25">
      <c r="A844" t="s">
        <v>465</v>
      </c>
      <c r="B844" t="s">
        <v>672</v>
      </c>
      <c r="C844" t="s">
        <v>1346</v>
      </c>
      <c r="D844">
        <v>1</v>
      </c>
      <c r="E844">
        <v>1</v>
      </c>
      <c r="F844">
        <v>532</v>
      </c>
      <c r="G844" s="14">
        <v>46084</v>
      </c>
      <c r="H844" s="14">
        <v>46153</v>
      </c>
      <c r="I844">
        <v>70</v>
      </c>
      <c r="J844" s="15">
        <v>1071</v>
      </c>
      <c r="K844" s="16">
        <f t="shared" si="26"/>
        <v>2.013157894736842</v>
      </c>
      <c r="L844" s="15">
        <v>767</v>
      </c>
      <c r="M844" s="16">
        <f t="shared" si="27"/>
        <v>1.4417293233082706</v>
      </c>
      <c r="N844" t="s">
        <v>405</v>
      </c>
    </row>
    <row r="845" spans="1:14" x14ac:dyDescent="0.25">
      <c r="A845" t="s">
        <v>465</v>
      </c>
      <c r="B845" t="s">
        <v>466</v>
      </c>
      <c r="C845" t="s">
        <v>1347</v>
      </c>
      <c r="D845">
        <v>1</v>
      </c>
      <c r="E845">
        <v>1</v>
      </c>
      <c r="F845">
        <v>757</v>
      </c>
      <c r="G845" s="14">
        <v>46140</v>
      </c>
      <c r="H845" s="14">
        <v>46153</v>
      </c>
      <c r="I845">
        <v>14</v>
      </c>
      <c r="J845" s="15">
        <v>1141</v>
      </c>
      <c r="K845" s="16">
        <f t="shared" si="26"/>
        <v>1.5072655217965654</v>
      </c>
      <c r="L845" s="15">
        <v>1141</v>
      </c>
      <c r="M845" s="16">
        <f t="shared" si="27"/>
        <v>1.5072655217965654</v>
      </c>
      <c r="N845" t="s">
        <v>405</v>
      </c>
    </row>
    <row r="846" spans="1:14" x14ac:dyDescent="0.25">
      <c r="A846" t="s">
        <v>465</v>
      </c>
      <c r="B846" t="s">
        <v>551</v>
      </c>
      <c r="C846" t="s">
        <v>1348</v>
      </c>
      <c r="D846">
        <v>1</v>
      </c>
      <c r="E846">
        <v>1</v>
      </c>
      <c r="F846">
        <v>757</v>
      </c>
      <c r="G846" s="14">
        <v>46111</v>
      </c>
      <c r="H846" s="14">
        <v>46153</v>
      </c>
      <c r="I846">
        <v>43</v>
      </c>
      <c r="J846" s="15">
        <v>1206</v>
      </c>
      <c r="K846" s="16">
        <f t="shared" si="26"/>
        <v>1.5931307793923382</v>
      </c>
      <c r="L846" s="15">
        <v>835</v>
      </c>
      <c r="M846" s="16">
        <f t="shared" si="27"/>
        <v>1.1030383091149274</v>
      </c>
      <c r="N846" t="s">
        <v>405</v>
      </c>
    </row>
    <row r="847" spans="1:14" x14ac:dyDescent="0.25">
      <c r="A847" t="s">
        <v>465</v>
      </c>
      <c r="B847" t="s">
        <v>500</v>
      </c>
      <c r="C847" t="s">
        <v>1349</v>
      </c>
      <c r="D847">
        <v>2</v>
      </c>
      <c r="E847">
        <v>1</v>
      </c>
      <c r="F847">
        <v>912</v>
      </c>
      <c r="G847" s="14">
        <v>45937</v>
      </c>
      <c r="H847" s="14">
        <v>46153</v>
      </c>
      <c r="I847">
        <v>217</v>
      </c>
      <c r="J847" s="15">
        <v>1320</v>
      </c>
      <c r="K847" s="16">
        <f t="shared" si="26"/>
        <v>1.4473684210526316</v>
      </c>
      <c r="L847" s="15">
        <v>914</v>
      </c>
      <c r="M847" s="16">
        <f t="shared" si="27"/>
        <v>1.0021929824561404</v>
      </c>
      <c r="N847" t="s">
        <v>405</v>
      </c>
    </row>
    <row r="848" spans="1:14" x14ac:dyDescent="0.25">
      <c r="A848" t="s">
        <v>465</v>
      </c>
      <c r="B848" t="s">
        <v>500</v>
      </c>
      <c r="C848" t="s">
        <v>1350</v>
      </c>
      <c r="D848">
        <v>2</v>
      </c>
      <c r="E848">
        <v>1</v>
      </c>
      <c r="F848">
        <v>912</v>
      </c>
      <c r="G848" s="14">
        <v>45764</v>
      </c>
      <c r="H848" s="14">
        <v>46153</v>
      </c>
      <c r="I848">
        <v>390</v>
      </c>
      <c r="J848" s="15">
        <v>1320</v>
      </c>
      <c r="K848" s="16">
        <f t="shared" si="26"/>
        <v>1.4473684210526316</v>
      </c>
      <c r="L848" s="15">
        <v>914</v>
      </c>
      <c r="M848" s="16">
        <f t="shared" si="27"/>
        <v>1.0021929824561404</v>
      </c>
      <c r="N848" t="s">
        <v>405</v>
      </c>
    </row>
    <row r="849" spans="1:14" x14ac:dyDescent="0.25">
      <c r="A849" t="s">
        <v>465</v>
      </c>
      <c r="B849" t="s">
        <v>500</v>
      </c>
      <c r="C849" t="s">
        <v>1351</v>
      </c>
      <c r="D849">
        <v>2</v>
      </c>
      <c r="E849">
        <v>1</v>
      </c>
      <c r="F849">
        <v>912</v>
      </c>
      <c r="G849" s="14">
        <v>46120</v>
      </c>
      <c r="H849" s="14">
        <v>46153</v>
      </c>
      <c r="I849">
        <v>34</v>
      </c>
      <c r="J849" s="15">
        <v>1325</v>
      </c>
      <c r="K849" s="16">
        <f t="shared" si="26"/>
        <v>1.4528508771929824</v>
      </c>
      <c r="L849" s="15">
        <v>917</v>
      </c>
      <c r="M849" s="16">
        <f t="shared" si="27"/>
        <v>1.0054824561403508</v>
      </c>
      <c r="N849" t="s">
        <v>405</v>
      </c>
    </row>
    <row r="850" spans="1:14" x14ac:dyDescent="0.25">
      <c r="A850" t="s">
        <v>465</v>
      </c>
      <c r="B850" t="s">
        <v>860</v>
      </c>
      <c r="C850" t="s">
        <v>1352</v>
      </c>
      <c r="D850">
        <v>2</v>
      </c>
      <c r="E850">
        <v>2</v>
      </c>
      <c r="F850">
        <v>1081</v>
      </c>
      <c r="G850" s="14">
        <v>46140</v>
      </c>
      <c r="H850" s="14">
        <v>46153</v>
      </c>
      <c r="I850">
        <v>14</v>
      </c>
      <c r="J850" s="15">
        <v>1369</v>
      </c>
      <c r="K850" s="16">
        <f t="shared" si="26"/>
        <v>1.2664199814986123</v>
      </c>
      <c r="L850" s="15">
        <v>947</v>
      </c>
      <c r="M850" s="16">
        <f t="shared" si="27"/>
        <v>0.87604070305272896</v>
      </c>
      <c r="N850" t="s">
        <v>405</v>
      </c>
    </row>
    <row r="851" spans="1:14" x14ac:dyDescent="0.25">
      <c r="A851" t="s">
        <v>477</v>
      </c>
      <c r="B851" t="s">
        <v>609</v>
      </c>
      <c r="C851" t="s">
        <v>1353</v>
      </c>
      <c r="D851">
        <v>2</v>
      </c>
      <c r="E851">
        <v>2</v>
      </c>
      <c r="F851">
        <v>1050</v>
      </c>
      <c r="G851" s="14">
        <v>46057</v>
      </c>
      <c r="H851" s="14">
        <v>46155</v>
      </c>
      <c r="I851">
        <v>99</v>
      </c>
      <c r="J851" s="15">
        <v>1217</v>
      </c>
      <c r="K851" s="16">
        <f t="shared" si="26"/>
        <v>1.1590476190476191</v>
      </c>
      <c r="L851" s="15">
        <v>1217</v>
      </c>
      <c r="M851" s="16">
        <f t="shared" si="27"/>
        <v>1.1590476190476191</v>
      </c>
      <c r="N851" t="s">
        <v>405</v>
      </c>
    </row>
    <row r="852" spans="1:14" x14ac:dyDescent="0.25">
      <c r="A852" t="s">
        <v>477</v>
      </c>
      <c r="B852" t="s">
        <v>812</v>
      </c>
      <c r="C852" t="s">
        <v>1354</v>
      </c>
      <c r="D852">
        <v>4</v>
      </c>
      <c r="E852">
        <v>2</v>
      </c>
      <c r="F852">
        <v>1444</v>
      </c>
      <c r="G852" s="14">
        <v>46084</v>
      </c>
      <c r="H852" s="14">
        <v>46155</v>
      </c>
      <c r="I852">
        <v>72</v>
      </c>
      <c r="J852" s="15">
        <v>1543</v>
      </c>
      <c r="K852" s="16">
        <f t="shared" si="26"/>
        <v>1.0685595567867037</v>
      </c>
      <c r="L852" s="15">
        <v>1543</v>
      </c>
      <c r="M852" s="16">
        <f t="shared" si="27"/>
        <v>1.0685595567867037</v>
      </c>
      <c r="N852" t="s">
        <v>405</v>
      </c>
    </row>
    <row r="853" spans="1:14" x14ac:dyDescent="0.25">
      <c r="A853" t="s">
        <v>454</v>
      </c>
      <c r="B853" t="s">
        <v>494</v>
      </c>
      <c r="C853" t="s">
        <v>709</v>
      </c>
      <c r="D853">
        <v>2</v>
      </c>
      <c r="E853">
        <v>2</v>
      </c>
      <c r="F853">
        <v>1001</v>
      </c>
      <c r="G853" s="14">
        <v>46119</v>
      </c>
      <c r="H853" s="14">
        <v>46155</v>
      </c>
      <c r="I853">
        <v>37</v>
      </c>
      <c r="J853" s="15">
        <v>1465</v>
      </c>
      <c r="K853" s="16">
        <f t="shared" si="26"/>
        <v>1.4635364635364636</v>
      </c>
      <c r="L853" s="15">
        <v>1465</v>
      </c>
      <c r="M853" s="16">
        <f t="shared" si="27"/>
        <v>1.4635364635364636</v>
      </c>
      <c r="N853" t="s">
        <v>405</v>
      </c>
    </row>
    <row r="854" spans="1:14" x14ac:dyDescent="0.25">
      <c r="A854" t="s">
        <v>472</v>
      </c>
      <c r="B854" t="s">
        <v>496</v>
      </c>
      <c r="C854" t="s">
        <v>1355</v>
      </c>
      <c r="D854">
        <v>1</v>
      </c>
      <c r="E854">
        <v>1</v>
      </c>
      <c r="F854">
        <v>625</v>
      </c>
      <c r="G854" s="14">
        <v>46114</v>
      </c>
      <c r="H854" s="14">
        <v>46155</v>
      </c>
      <c r="I854">
        <v>42</v>
      </c>
      <c r="J854" s="15">
        <v>1198</v>
      </c>
      <c r="K854" s="16">
        <f t="shared" si="26"/>
        <v>1.9168000000000001</v>
      </c>
      <c r="L854" s="15">
        <v>1014</v>
      </c>
      <c r="M854" s="16">
        <f t="shared" si="27"/>
        <v>1.6224000000000001</v>
      </c>
      <c r="N854" t="s">
        <v>405</v>
      </c>
    </row>
    <row r="855" spans="1:14" x14ac:dyDescent="0.25">
      <c r="A855" t="s">
        <v>486</v>
      </c>
      <c r="B855" t="s">
        <v>521</v>
      </c>
      <c r="C855" t="s">
        <v>1356</v>
      </c>
      <c r="D855">
        <v>2</v>
      </c>
      <c r="E855">
        <v>2</v>
      </c>
      <c r="F855">
        <v>1000</v>
      </c>
      <c r="G855" s="14">
        <v>46126</v>
      </c>
      <c r="H855" s="14">
        <v>46155</v>
      </c>
      <c r="I855">
        <v>30</v>
      </c>
      <c r="J855" s="15">
        <v>1401</v>
      </c>
      <c r="K855" s="16">
        <f t="shared" si="26"/>
        <v>1.401</v>
      </c>
      <c r="L855" s="15">
        <v>970</v>
      </c>
      <c r="M855" s="16">
        <f t="shared" si="27"/>
        <v>0.97</v>
      </c>
      <c r="N855" t="s">
        <v>405</v>
      </c>
    </row>
    <row r="856" spans="1:14" x14ac:dyDescent="0.25">
      <c r="A856" t="s">
        <v>486</v>
      </c>
      <c r="B856" t="s">
        <v>521</v>
      </c>
      <c r="C856" t="s">
        <v>1357</v>
      </c>
      <c r="D856">
        <v>2</v>
      </c>
      <c r="E856">
        <v>2</v>
      </c>
      <c r="F856">
        <v>1000</v>
      </c>
      <c r="G856" s="14">
        <v>46083</v>
      </c>
      <c r="H856" s="14">
        <v>46155</v>
      </c>
      <c r="I856">
        <v>73</v>
      </c>
      <c r="J856" s="15">
        <v>1401</v>
      </c>
      <c r="K856" s="16">
        <f t="shared" si="26"/>
        <v>1.401</v>
      </c>
      <c r="L856" s="15">
        <v>1031</v>
      </c>
      <c r="M856" s="16">
        <f t="shared" si="27"/>
        <v>1.0309999999999999</v>
      </c>
      <c r="N856" t="s">
        <v>405</v>
      </c>
    </row>
    <row r="857" spans="1:14" x14ac:dyDescent="0.25">
      <c r="A857" t="s">
        <v>465</v>
      </c>
      <c r="B857" t="s">
        <v>551</v>
      </c>
      <c r="C857" t="s">
        <v>1358</v>
      </c>
      <c r="D857">
        <v>1</v>
      </c>
      <c r="E857">
        <v>1</v>
      </c>
      <c r="F857">
        <v>757</v>
      </c>
      <c r="G857" s="14">
        <v>46140</v>
      </c>
      <c r="H857" s="14">
        <v>46155</v>
      </c>
      <c r="I857">
        <v>16</v>
      </c>
      <c r="J857" s="15">
        <v>1241</v>
      </c>
      <c r="K857" s="16">
        <f t="shared" si="26"/>
        <v>1.6393659180977542</v>
      </c>
      <c r="L857" s="15">
        <v>1241</v>
      </c>
      <c r="M857" s="16">
        <f t="shared" si="27"/>
        <v>1.6393659180977542</v>
      </c>
      <c r="N857" t="s">
        <v>405</v>
      </c>
    </row>
    <row r="858" spans="1:14" x14ac:dyDescent="0.25">
      <c r="A858" t="s">
        <v>451</v>
      </c>
      <c r="B858" t="s">
        <v>460</v>
      </c>
      <c r="C858" t="s">
        <v>1359</v>
      </c>
      <c r="D858">
        <v>1</v>
      </c>
      <c r="E858">
        <v>1</v>
      </c>
      <c r="F858">
        <v>726</v>
      </c>
      <c r="G858" s="14">
        <v>46077</v>
      </c>
      <c r="H858" s="14">
        <v>46156</v>
      </c>
      <c r="I858">
        <v>80</v>
      </c>
      <c r="J858" s="15">
        <v>1200</v>
      </c>
      <c r="K858" s="16">
        <f t="shared" si="26"/>
        <v>1.6528925619834711</v>
      </c>
      <c r="L858" s="15">
        <v>1100</v>
      </c>
      <c r="M858" s="16">
        <f t="shared" si="27"/>
        <v>1.5151515151515151</v>
      </c>
      <c r="N858" t="s">
        <v>405</v>
      </c>
    </row>
    <row r="859" spans="1:14" x14ac:dyDescent="0.25">
      <c r="A859" t="s">
        <v>486</v>
      </c>
      <c r="B859" t="s">
        <v>521</v>
      </c>
      <c r="C859" t="s">
        <v>1360</v>
      </c>
      <c r="D859">
        <v>2</v>
      </c>
      <c r="E859">
        <v>2</v>
      </c>
      <c r="F859">
        <v>1000</v>
      </c>
      <c r="G859" s="14">
        <v>46044</v>
      </c>
      <c r="H859" s="14">
        <v>46156</v>
      </c>
      <c r="I859">
        <v>113</v>
      </c>
      <c r="J859" s="15">
        <v>1396</v>
      </c>
      <c r="K859" s="16">
        <f t="shared" si="26"/>
        <v>1.3959999999999999</v>
      </c>
      <c r="L859" s="15">
        <v>966</v>
      </c>
      <c r="M859" s="16">
        <f t="shared" si="27"/>
        <v>0.96599999999999997</v>
      </c>
      <c r="N859" t="s">
        <v>405</v>
      </c>
    </row>
    <row r="860" spans="1:14" x14ac:dyDescent="0.25">
      <c r="A860" t="s">
        <v>454</v>
      </c>
      <c r="B860" t="s">
        <v>455</v>
      </c>
      <c r="C860" t="s">
        <v>1361</v>
      </c>
      <c r="D860">
        <v>2</v>
      </c>
      <c r="E860">
        <v>2</v>
      </c>
      <c r="F860">
        <v>1001</v>
      </c>
      <c r="G860" s="14">
        <v>46144</v>
      </c>
      <c r="H860" s="14">
        <v>46157</v>
      </c>
      <c r="I860">
        <v>14</v>
      </c>
      <c r="J860" s="15">
        <v>1350</v>
      </c>
      <c r="K860" s="16">
        <f t="shared" si="26"/>
        <v>1.3486513486513487</v>
      </c>
      <c r="L860" s="15">
        <v>1350</v>
      </c>
      <c r="M860" s="16">
        <f t="shared" si="27"/>
        <v>1.3486513486513487</v>
      </c>
      <c r="N860" t="s">
        <v>405</v>
      </c>
    </row>
    <row r="861" spans="1:14" x14ac:dyDescent="0.25">
      <c r="A861" t="s">
        <v>486</v>
      </c>
      <c r="B861" t="s">
        <v>513</v>
      </c>
      <c r="C861" t="s">
        <v>1362</v>
      </c>
      <c r="D861">
        <v>2</v>
      </c>
      <c r="E861">
        <v>2</v>
      </c>
      <c r="F861">
        <v>1000</v>
      </c>
      <c r="G861" s="14">
        <v>46064</v>
      </c>
      <c r="H861" s="14">
        <v>46157</v>
      </c>
      <c r="I861">
        <v>94</v>
      </c>
      <c r="J861" s="15">
        <v>1226</v>
      </c>
      <c r="K861" s="16">
        <f t="shared" si="26"/>
        <v>1.226</v>
      </c>
      <c r="L861" s="15">
        <v>848</v>
      </c>
      <c r="M861" s="16">
        <f t="shared" si="27"/>
        <v>0.84799999999999998</v>
      </c>
      <c r="N861" t="s">
        <v>405</v>
      </c>
    </row>
    <row r="862" spans="1:14" x14ac:dyDescent="0.25">
      <c r="A862" t="s">
        <v>465</v>
      </c>
      <c r="B862" t="s">
        <v>567</v>
      </c>
      <c r="C862" t="s">
        <v>1363</v>
      </c>
      <c r="D862">
        <v>1</v>
      </c>
      <c r="E862">
        <v>1</v>
      </c>
      <c r="F862">
        <v>757</v>
      </c>
      <c r="G862" s="14">
        <v>46142</v>
      </c>
      <c r="H862" s="14">
        <v>46157</v>
      </c>
      <c r="I862">
        <v>16</v>
      </c>
      <c r="J862" s="15">
        <v>1131</v>
      </c>
      <c r="K862" s="16">
        <f t="shared" si="26"/>
        <v>1.4940554821664465</v>
      </c>
      <c r="L862" s="15">
        <v>810</v>
      </c>
      <c r="M862" s="16">
        <f t="shared" si="27"/>
        <v>1.07001321003963</v>
      </c>
      <c r="N862" t="s">
        <v>405</v>
      </c>
    </row>
    <row r="863" spans="1:14" x14ac:dyDescent="0.25">
      <c r="A863" t="s">
        <v>465</v>
      </c>
      <c r="B863" t="s">
        <v>466</v>
      </c>
      <c r="C863" t="s">
        <v>1364</v>
      </c>
      <c r="D863">
        <v>1</v>
      </c>
      <c r="E863">
        <v>1</v>
      </c>
      <c r="F863">
        <v>757</v>
      </c>
      <c r="G863" s="14">
        <v>46140</v>
      </c>
      <c r="H863" s="14">
        <v>46157</v>
      </c>
      <c r="I863">
        <v>18</v>
      </c>
      <c r="J863" s="15">
        <v>1141</v>
      </c>
      <c r="K863" s="16">
        <f t="shared" si="26"/>
        <v>1.5072655217965654</v>
      </c>
      <c r="L863" s="15">
        <v>1141</v>
      </c>
      <c r="M863" s="16">
        <f t="shared" si="27"/>
        <v>1.5072655217965654</v>
      </c>
      <c r="N863" t="s">
        <v>405</v>
      </c>
    </row>
    <row r="864" spans="1:14" x14ac:dyDescent="0.25">
      <c r="A864" t="s">
        <v>477</v>
      </c>
      <c r="B864" t="s">
        <v>609</v>
      </c>
      <c r="C864" t="s">
        <v>1365</v>
      </c>
      <c r="D864">
        <v>2</v>
      </c>
      <c r="E864">
        <v>2</v>
      </c>
      <c r="F864">
        <v>1050</v>
      </c>
      <c r="G864" s="14">
        <v>46052</v>
      </c>
      <c r="H864" s="14">
        <v>46158</v>
      </c>
      <c r="I864">
        <v>107</v>
      </c>
      <c r="J864" s="15">
        <v>1217</v>
      </c>
      <c r="K864" s="16">
        <f t="shared" si="26"/>
        <v>1.1590476190476191</v>
      </c>
      <c r="L864" s="15">
        <v>1217</v>
      </c>
      <c r="M864" s="16">
        <f t="shared" si="27"/>
        <v>1.1590476190476191</v>
      </c>
      <c r="N864" t="s">
        <v>405</v>
      </c>
    </row>
    <row r="865" spans="1:14" x14ac:dyDescent="0.25">
      <c r="A865" t="s">
        <v>472</v>
      </c>
      <c r="B865" t="s">
        <v>496</v>
      </c>
      <c r="C865" t="s">
        <v>1366</v>
      </c>
      <c r="D865">
        <v>1</v>
      </c>
      <c r="E865">
        <v>1</v>
      </c>
      <c r="F865">
        <v>625</v>
      </c>
      <c r="G865" s="14">
        <v>46147</v>
      </c>
      <c r="H865" s="14">
        <v>46158</v>
      </c>
      <c r="I865">
        <v>12</v>
      </c>
      <c r="J865" s="15">
        <v>1098</v>
      </c>
      <c r="K865" s="16">
        <f t="shared" si="26"/>
        <v>1.7567999999999999</v>
      </c>
      <c r="L865" s="15">
        <v>929</v>
      </c>
      <c r="M865" s="16">
        <f t="shared" si="27"/>
        <v>1.4863999999999999</v>
      </c>
      <c r="N865" t="s">
        <v>405</v>
      </c>
    </row>
    <row r="866" spans="1:14" x14ac:dyDescent="0.25">
      <c r="A866" t="s">
        <v>472</v>
      </c>
      <c r="B866" t="s">
        <v>496</v>
      </c>
      <c r="C866" t="s">
        <v>1367</v>
      </c>
      <c r="D866">
        <v>1</v>
      </c>
      <c r="E866">
        <v>1</v>
      </c>
      <c r="F866">
        <v>625</v>
      </c>
      <c r="G866" s="14">
        <v>46149</v>
      </c>
      <c r="H866" s="14">
        <v>46158</v>
      </c>
      <c r="I866">
        <v>10</v>
      </c>
      <c r="J866" s="15">
        <v>1098</v>
      </c>
      <c r="K866" s="16">
        <f t="shared" si="26"/>
        <v>1.7567999999999999</v>
      </c>
      <c r="L866" s="15">
        <v>929</v>
      </c>
      <c r="M866" s="16">
        <f t="shared" si="27"/>
        <v>1.4863999999999999</v>
      </c>
      <c r="N866" t="s">
        <v>405</v>
      </c>
    </row>
    <row r="867" spans="1:14" x14ac:dyDescent="0.25">
      <c r="A867" t="s">
        <v>472</v>
      </c>
      <c r="B867" t="s">
        <v>496</v>
      </c>
      <c r="C867" t="s">
        <v>1368</v>
      </c>
      <c r="D867">
        <v>1</v>
      </c>
      <c r="E867">
        <v>1</v>
      </c>
      <c r="F867">
        <v>625</v>
      </c>
      <c r="G867" s="14">
        <v>46114</v>
      </c>
      <c r="H867" s="14">
        <v>46158</v>
      </c>
      <c r="I867">
        <v>45</v>
      </c>
      <c r="J867" s="15">
        <v>1198</v>
      </c>
      <c r="K867" s="16">
        <f t="shared" si="26"/>
        <v>1.9168000000000001</v>
      </c>
      <c r="L867" s="15">
        <v>1014</v>
      </c>
      <c r="M867" s="16">
        <f t="shared" si="27"/>
        <v>1.6224000000000001</v>
      </c>
      <c r="N867" t="s">
        <v>405</v>
      </c>
    </row>
    <row r="868" spans="1:14" x14ac:dyDescent="0.25">
      <c r="A868" t="s">
        <v>486</v>
      </c>
      <c r="B868" t="s">
        <v>510</v>
      </c>
      <c r="C868" t="s">
        <v>1369</v>
      </c>
      <c r="D868">
        <v>1</v>
      </c>
      <c r="E868">
        <v>1</v>
      </c>
      <c r="F868">
        <v>650</v>
      </c>
      <c r="G868" s="14">
        <v>46114</v>
      </c>
      <c r="H868" s="14">
        <v>46158</v>
      </c>
      <c r="I868">
        <v>45</v>
      </c>
      <c r="J868" s="15">
        <v>1198</v>
      </c>
      <c r="K868" s="16">
        <f t="shared" si="26"/>
        <v>1.8430769230769231</v>
      </c>
      <c r="L868" s="15">
        <v>1198</v>
      </c>
      <c r="M868" s="16">
        <f t="shared" si="27"/>
        <v>1.8430769230769231</v>
      </c>
      <c r="N868" t="s">
        <v>405</v>
      </c>
    </row>
    <row r="869" spans="1:14" x14ac:dyDescent="0.25">
      <c r="A869" t="s">
        <v>486</v>
      </c>
      <c r="B869" t="s">
        <v>615</v>
      </c>
      <c r="C869" t="s">
        <v>1370</v>
      </c>
      <c r="D869">
        <v>2</v>
      </c>
      <c r="E869">
        <v>2</v>
      </c>
      <c r="F869">
        <v>1000</v>
      </c>
      <c r="G869" s="14">
        <v>46028</v>
      </c>
      <c r="H869" s="14">
        <v>46158</v>
      </c>
      <c r="I869">
        <v>131</v>
      </c>
      <c r="J869" s="15">
        <v>1331</v>
      </c>
      <c r="K869" s="16">
        <f t="shared" si="26"/>
        <v>1.331</v>
      </c>
      <c r="L869" s="15">
        <v>921</v>
      </c>
      <c r="M869" s="16">
        <f t="shared" si="27"/>
        <v>0.92100000000000004</v>
      </c>
      <c r="N869" t="s">
        <v>405</v>
      </c>
    </row>
    <row r="870" spans="1:14" x14ac:dyDescent="0.25">
      <c r="A870" t="s">
        <v>472</v>
      </c>
      <c r="B870" t="s">
        <v>496</v>
      </c>
      <c r="C870" t="s">
        <v>1371</v>
      </c>
      <c r="D870">
        <v>1</v>
      </c>
      <c r="E870">
        <v>1</v>
      </c>
      <c r="F870">
        <v>625</v>
      </c>
      <c r="G870" s="14">
        <v>46079</v>
      </c>
      <c r="H870" s="14">
        <v>46159</v>
      </c>
      <c r="I870">
        <v>81</v>
      </c>
      <c r="J870" s="15">
        <v>1098</v>
      </c>
      <c r="K870" s="16">
        <f t="shared" si="26"/>
        <v>1.7567999999999999</v>
      </c>
      <c r="L870" s="15">
        <v>941</v>
      </c>
      <c r="M870" s="16">
        <f t="shared" si="27"/>
        <v>1.5056</v>
      </c>
      <c r="N870" t="s">
        <v>405</v>
      </c>
    </row>
    <row r="871" spans="1:14" x14ac:dyDescent="0.25">
      <c r="A871" t="s">
        <v>472</v>
      </c>
      <c r="B871" t="s">
        <v>473</v>
      </c>
      <c r="C871" t="s">
        <v>1372</v>
      </c>
      <c r="D871">
        <v>2</v>
      </c>
      <c r="E871">
        <v>1</v>
      </c>
      <c r="F871">
        <v>800</v>
      </c>
      <c r="G871" s="14">
        <v>46076</v>
      </c>
      <c r="H871" s="14">
        <v>46159</v>
      </c>
      <c r="I871">
        <v>84</v>
      </c>
      <c r="J871" s="15">
        <v>1248</v>
      </c>
      <c r="K871" s="16">
        <f t="shared" si="26"/>
        <v>1.56</v>
      </c>
      <c r="L871" s="15">
        <v>1070</v>
      </c>
      <c r="M871" s="16">
        <f t="shared" si="27"/>
        <v>1.3374999999999999</v>
      </c>
      <c r="N871" t="s">
        <v>405</v>
      </c>
    </row>
    <row r="872" spans="1:14" x14ac:dyDescent="0.25">
      <c r="A872" t="s">
        <v>486</v>
      </c>
      <c r="B872" t="s">
        <v>510</v>
      </c>
      <c r="C872" t="s">
        <v>1373</v>
      </c>
      <c r="D872">
        <v>1</v>
      </c>
      <c r="E872">
        <v>1</v>
      </c>
      <c r="F872">
        <v>650</v>
      </c>
      <c r="G872" s="14">
        <v>46021</v>
      </c>
      <c r="H872" s="14">
        <v>46159</v>
      </c>
      <c r="I872">
        <v>139</v>
      </c>
      <c r="J872" s="15">
        <v>1198</v>
      </c>
      <c r="K872" s="16">
        <f t="shared" si="26"/>
        <v>1.8430769230769231</v>
      </c>
      <c r="L872" s="15">
        <v>857</v>
      </c>
      <c r="M872" s="16">
        <f t="shared" si="27"/>
        <v>1.3184615384615384</v>
      </c>
      <c r="N872" t="s">
        <v>405</v>
      </c>
    </row>
    <row r="873" spans="1:14" x14ac:dyDescent="0.25">
      <c r="A873" t="s">
        <v>451</v>
      </c>
      <c r="B873" t="s">
        <v>452</v>
      </c>
      <c r="C873" t="s">
        <v>1374</v>
      </c>
      <c r="D873">
        <v>2</v>
      </c>
      <c r="E873">
        <v>2</v>
      </c>
      <c r="F873">
        <v>903</v>
      </c>
      <c r="G873" s="14">
        <v>45826</v>
      </c>
      <c r="H873" s="14">
        <v>46160</v>
      </c>
      <c r="I873">
        <v>335</v>
      </c>
      <c r="J873" s="15">
        <v>1400</v>
      </c>
      <c r="K873" s="16">
        <f t="shared" si="26"/>
        <v>1.5503875968992249</v>
      </c>
      <c r="L873" s="15">
        <v>1283</v>
      </c>
      <c r="M873" s="16">
        <f t="shared" si="27"/>
        <v>1.4208194905869325</v>
      </c>
      <c r="N873" t="s">
        <v>405</v>
      </c>
    </row>
    <row r="874" spans="1:14" x14ac:dyDescent="0.25">
      <c r="A874" t="s">
        <v>486</v>
      </c>
      <c r="B874" t="s">
        <v>521</v>
      </c>
      <c r="C874" t="s">
        <v>1375</v>
      </c>
      <c r="D874">
        <v>2</v>
      </c>
      <c r="E874">
        <v>2</v>
      </c>
      <c r="F874">
        <v>1000</v>
      </c>
      <c r="G874" s="14">
        <v>46121</v>
      </c>
      <c r="H874" s="14">
        <v>46160</v>
      </c>
      <c r="I874">
        <v>40</v>
      </c>
      <c r="J874" s="15">
        <v>1396</v>
      </c>
      <c r="K874" s="16">
        <f t="shared" si="26"/>
        <v>1.3959999999999999</v>
      </c>
      <c r="L874" s="15">
        <v>966</v>
      </c>
      <c r="M874" s="16">
        <f t="shared" si="27"/>
        <v>0.96599999999999997</v>
      </c>
      <c r="N874" t="s">
        <v>405</v>
      </c>
    </row>
    <row r="875" spans="1:14" x14ac:dyDescent="0.25">
      <c r="A875" t="s">
        <v>465</v>
      </c>
      <c r="B875" t="s">
        <v>984</v>
      </c>
      <c r="C875" t="s">
        <v>1376</v>
      </c>
      <c r="D875">
        <v>1</v>
      </c>
      <c r="E875">
        <v>1</v>
      </c>
      <c r="F875">
        <v>532</v>
      </c>
      <c r="G875" s="14">
        <v>46155</v>
      </c>
      <c r="H875" s="14">
        <v>46160</v>
      </c>
      <c r="I875">
        <v>6</v>
      </c>
      <c r="J875" s="15">
        <v>1071</v>
      </c>
      <c r="K875" s="16">
        <f t="shared" si="26"/>
        <v>2.013157894736842</v>
      </c>
      <c r="L875" s="15">
        <v>1071</v>
      </c>
      <c r="M875" s="16">
        <f t="shared" si="27"/>
        <v>2.013157894736842</v>
      </c>
      <c r="N875" t="s">
        <v>405</v>
      </c>
    </row>
    <row r="876" spans="1:14" x14ac:dyDescent="0.25">
      <c r="A876" t="s">
        <v>465</v>
      </c>
      <c r="B876" t="s">
        <v>1071</v>
      </c>
      <c r="C876" t="s">
        <v>1377</v>
      </c>
      <c r="D876">
        <v>2</v>
      </c>
      <c r="E876">
        <v>1</v>
      </c>
      <c r="F876">
        <v>912</v>
      </c>
      <c r="G876" s="14">
        <v>46089</v>
      </c>
      <c r="H876" s="14">
        <v>46160</v>
      </c>
      <c r="I876">
        <v>72</v>
      </c>
      <c r="J876" s="15">
        <v>1306</v>
      </c>
      <c r="K876" s="16">
        <f t="shared" si="26"/>
        <v>1.4320175438596492</v>
      </c>
      <c r="L876" s="15">
        <v>904</v>
      </c>
      <c r="M876" s="16">
        <f t="shared" si="27"/>
        <v>0.99122807017543857</v>
      </c>
      <c r="N876" t="s">
        <v>405</v>
      </c>
    </row>
    <row r="877" spans="1:14" x14ac:dyDescent="0.25">
      <c r="A877" t="s">
        <v>477</v>
      </c>
      <c r="B877" t="s">
        <v>478</v>
      </c>
      <c r="C877" t="s">
        <v>1378</v>
      </c>
      <c r="D877">
        <v>1</v>
      </c>
      <c r="E877">
        <v>1</v>
      </c>
      <c r="F877">
        <v>771</v>
      </c>
      <c r="G877" s="14">
        <v>45975</v>
      </c>
      <c r="H877" s="14">
        <v>46161</v>
      </c>
      <c r="I877">
        <v>187</v>
      </c>
      <c r="J877" s="15">
        <v>1031</v>
      </c>
      <c r="K877" s="16">
        <f t="shared" si="26"/>
        <v>1.3372243839169908</v>
      </c>
      <c r="L877" s="15">
        <v>1031</v>
      </c>
      <c r="M877" s="16">
        <f t="shared" si="27"/>
        <v>1.3372243839169908</v>
      </c>
      <c r="N877" t="s">
        <v>405</v>
      </c>
    </row>
    <row r="878" spans="1:14" x14ac:dyDescent="0.25">
      <c r="A878" t="s">
        <v>472</v>
      </c>
      <c r="B878" t="s">
        <v>496</v>
      </c>
      <c r="C878" t="s">
        <v>1379</v>
      </c>
      <c r="D878">
        <v>1</v>
      </c>
      <c r="E878">
        <v>1</v>
      </c>
      <c r="F878">
        <v>625</v>
      </c>
      <c r="G878" s="14">
        <v>46115</v>
      </c>
      <c r="H878" s="14">
        <v>46161</v>
      </c>
      <c r="I878">
        <v>47</v>
      </c>
      <c r="J878" s="15">
        <v>1198</v>
      </c>
      <c r="K878" s="16">
        <f t="shared" si="26"/>
        <v>1.9168000000000001</v>
      </c>
      <c r="L878" s="15">
        <v>1014</v>
      </c>
      <c r="M878" s="16">
        <f t="shared" si="27"/>
        <v>1.6224000000000001</v>
      </c>
      <c r="N878" t="s">
        <v>405</v>
      </c>
    </row>
    <row r="879" spans="1:14" x14ac:dyDescent="0.25">
      <c r="A879" t="s">
        <v>472</v>
      </c>
      <c r="B879" t="s">
        <v>496</v>
      </c>
      <c r="C879" t="s">
        <v>1380</v>
      </c>
      <c r="D879">
        <v>1</v>
      </c>
      <c r="E879">
        <v>1</v>
      </c>
      <c r="F879">
        <v>625</v>
      </c>
      <c r="G879" s="14">
        <v>46140</v>
      </c>
      <c r="H879" s="14">
        <v>46161</v>
      </c>
      <c r="I879">
        <v>22</v>
      </c>
      <c r="J879" s="15">
        <v>1198</v>
      </c>
      <c r="K879" s="16">
        <f t="shared" si="26"/>
        <v>1.9168000000000001</v>
      </c>
      <c r="L879" s="15">
        <v>1027</v>
      </c>
      <c r="M879" s="16">
        <f t="shared" si="27"/>
        <v>1.6432</v>
      </c>
      <c r="N879" t="s">
        <v>405</v>
      </c>
    </row>
    <row r="880" spans="1:14" x14ac:dyDescent="0.25">
      <c r="A880" t="s">
        <v>472</v>
      </c>
      <c r="B880" t="s">
        <v>473</v>
      </c>
      <c r="C880" t="s">
        <v>1381</v>
      </c>
      <c r="D880">
        <v>2</v>
      </c>
      <c r="E880">
        <v>1</v>
      </c>
      <c r="F880">
        <v>800</v>
      </c>
      <c r="G880" s="14">
        <v>46001</v>
      </c>
      <c r="H880" s="14">
        <v>46161</v>
      </c>
      <c r="I880">
        <v>161</v>
      </c>
      <c r="J880" s="15">
        <v>1248</v>
      </c>
      <c r="K880" s="16">
        <f t="shared" si="26"/>
        <v>1.56</v>
      </c>
      <c r="L880" s="15">
        <v>1070</v>
      </c>
      <c r="M880" s="16">
        <f t="shared" si="27"/>
        <v>1.3374999999999999</v>
      </c>
      <c r="N880" t="s">
        <v>405</v>
      </c>
    </row>
    <row r="881" spans="1:14" x14ac:dyDescent="0.25">
      <c r="A881" t="s">
        <v>472</v>
      </c>
      <c r="B881" t="s">
        <v>473</v>
      </c>
      <c r="C881" t="s">
        <v>1382</v>
      </c>
      <c r="D881">
        <v>2</v>
      </c>
      <c r="E881">
        <v>1</v>
      </c>
      <c r="F881">
        <v>800</v>
      </c>
      <c r="G881" s="14">
        <v>45985</v>
      </c>
      <c r="H881" s="14">
        <v>46161</v>
      </c>
      <c r="I881">
        <v>177</v>
      </c>
      <c r="J881" s="15">
        <v>1253</v>
      </c>
      <c r="K881" s="16">
        <f t="shared" si="26"/>
        <v>1.5662499999999999</v>
      </c>
      <c r="L881" s="15">
        <v>1074</v>
      </c>
      <c r="M881" s="16">
        <f t="shared" si="27"/>
        <v>1.3425</v>
      </c>
      <c r="N881" t="s">
        <v>405</v>
      </c>
    </row>
    <row r="882" spans="1:14" x14ac:dyDescent="0.25">
      <c r="A882" t="s">
        <v>472</v>
      </c>
      <c r="B882" t="s">
        <v>473</v>
      </c>
      <c r="C882" t="s">
        <v>1383</v>
      </c>
      <c r="D882">
        <v>2</v>
      </c>
      <c r="E882">
        <v>1</v>
      </c>
      <c r="F882">
        <v>800</v>
      </c>
      <c r="G882" s="14">
        <v>46049</v>
      </c>
      <c r="H882" s="14">
        <v>46161</v>
      </c>
      <c r="I882">
        <v>113</v>
      </c>
      <c r="J882" s="15">
        <v>1348</v>
      </c>
      <c r="K882" s="16">
        <f t="shared" si="26"/>
        <v>1.6850000000000001</v>
      </c>
      <c r="L882" s="15">
        <v>1155</v>
      </c>
      <c r="M882" s="16">
        <f t="shared" si="27"/>
        <v>1.4437500000000001</v>
      </c>
      <c r="N882" t="s">
        <v>405</v>
      </c>
    </row>
    <row r="883" spans="1:14" x14ac:dyDescent="0.25">
      <c r="A883" t="s">
        <v>472</v>
      </c>
      <c r="B883" t="s">
        <v>473</v>
      </c>
      <c r="C883" t="s">
        <v>1384</v>
      </c>
      <c r="D883">
        <v>2</v>
      </c>
      <c r="E883">
        <v>1</v>
      </c>
      <c r="F883">
        <v>800</v>
      </c>
      <c r="G883" s="14">
        <v>46140</v>
      </c>
      <c r="H883" s="14">
        <v>46161</v>
      </c>
      <c r="I883">
        <v>22</v>
      </c>
      <c r="J883" s="15">
        <v>1348</v>
      </c>
      <c r="K883" s="16">
        <f t="shared" si="26"/>
        <v>1.6850000000000001</v>
      </c>
      <c r="L883" s="15">
        <v>1155</v>
      </c>
      <c r="M883" s="16">
        <f t="shared" si="27"/>
        <v>1.4437500000000001</v>
      </c>
      <c r="N883" t="s">
        <v>405</v>
      </c>
    </row>
    <row r="884" spans="1:14" x14ac:dyDescent="0.25">
      <c r="A884" t="s">
        <v>472</v>
      </c>
      <c r="B884" t="s">
        <v>473</v>
      </c>
      <c r="C884" t="s">
        <v>1385</v>
      </c>
      <c r="D884">
        <v>2</v>
      </c>
      <c r="E884">
        <v>1</v>
      </c>
      <c r="F884">
        <v>800</v>
      </c>
      <c r="G884" s="14">
        <v>46091</v>
      </c>
      <c r="H884" s="14">
        <v>46161</v>
      </c>
      <c r="I884">
        <v>71</v>
      </c>
      <c r="J884" s="15">
        <v>1373</v>
      </c>
      <c r="K884" s="16">
        <f t="shared" si="26"/>
        <v>1.7162500000000001</v>
      </c>
      <c r="L884" s="15">
        <v>1177</v>
      </c>
      <c r="M884" s="16">
        <f t="shared" si="27"/>
        <v>1.4712499999999999</v>
      </c>
      <c r="N884" t="s">
        <v>405</v>
      </c>
    </row>
    <row r="885" spans="1:14" x14ac:dyDescent="0.25">
      <c r="A885" t="s">
        <v>486</v>
      </c>
      <c r="B885" t="s">
        <v>591</v>
      </c>
      <c r="C885" t="s">
        <v>1386</v>
      </c>
      <c r="D885">
        <v>2</v>
      </c>
      <c r="E885">
        <v>1</v>
      </c>
      <c r="F885">
        <v>860</v>
      </c>
      <c r="G885" s="14">
        <v>46065</v>
      </c>
      <c r="H885" s="14">
        <v>46161</v>
      </c>
      <c r="I885">
        <v>97</v>
      </c>
      <c r="J885" s="15">
        <v>1462</v>
      </c>
      <c r="K885" s="16">
        <f t="shared" si="26"/>
        <v>1.7</v>
      </c>
      <c r="L885" s="15">
        <v>1012</v>
      </c>
      <c r="M885" s="16">
        <f t="shared" si="27"/>
        <v>1.1767441860465115</v>
      </c>
      <c r="N885" t="s">
        <v>405</v>
      </c>
    </row>
    <row r="886" spans="1:14" x14ac:dyDescent="0.25">
      <c r="A886" t="s">
        <v>486</v>
      </c>
      <c r="B886" t="s">
        <v>615</v>
      </c>
      <c r="C886" t="s">
        <v>1387</v>
      </c>
      <c r="D886">
        <v>2</v>
      </c>
      <c r="E886">
        <v>2</v>
      </c>
      <c r="F886">
        <v>1000</v>
      </c>
      <c r="G886" s="14">
        <v>45911</v>
      </c>
      <c r="H886" s="14">
        <v>46161</v>
      </c>
      <c r="I886">
        <v>251</v>
      </c>
      <c r="J886" s="15">
        <v>1301</v>
      </c>
      <c r="K886" s="16">
        <f t="shared" si="26"/>
        <v>1.3009999999999999</v>
      </c>
      <c r="L886" s="15">
        <v>900</v>
      </c>
      <c r="M886" s="16">
        <f t="shared" si="27"/>
        <v>0.9</v>
      </c>
      <c r="N886" t="s">
        <v>405</v>
      </c>
    </row>
    <row r="887" spans="1:14" x14ac:dyDescent="0.25">
      <c r="A887" t="s">
        <v>486</v>
      </c>
      <c r="B887" t="s">
        <v>615</v>
      </c>
      <c r="C887" t="s">
        <v>1388</v>
      </c>
      <c r="D887">
        <v>2</v>
      </c>
      <c r="E887">
        <v>2</v>
      </c>
      <c r="F887">
        <v>1000</v>
      </c>
      <c r="G887" s="14">
        <v>45967</v>
      </c>
      <c r="H887" s="14">
        <v>46161</v>
      </c>
      <c r="I887">
        <v>195</v>
      </c>
      <c r="J887" s="15">
        <v>1366</v>
      </c>
      <c r="K887" s="16">
        <f t="shared" si="26"/>
        <v>1.3660000000000001</v>
      </c>
      <c r="L887" s="15">
        <v>945</v>
      </c>
      <c r="M887" s="16">
        <f t="shared" si="27"/>
        <v>0.94499999999999995</v>
      </c>
      <c r="N887" t="s">
        <v>405</v>
      </c>
    </row>
    <row r="888" spans="1:14" x14ac:dyDescent="0.25">
      <c r="A888" t="s">
        <v>457</v>
      </c>
      <c r="B888" t="s">
        <v>562</v>
      </c>
      <c r="C888" t="s">
        <v>1389</v>
      </c>
      <c r="D888">
        <v>2</v>
      </c>
      <c r="E888">
        <v>2</v>
      </c>
      <c r="F888">
        <v>1001</v>
      </c>
      <c r="G888" s="14">
        <v>46099</v>
      </c>
      <c r="H888" s="14">
        <v>46161</v>
      </c>
      <c r="I888">
        <v>63</v>
      </c>
      <c r="J888" s="15">
        <v>1256</v>
      </c>
      <c r="K888" s="16">
        <f t="shared" si="26"/>
        <v>1.2547452547452547</v>
      </c>
      <c r="L888" s="15">
        <v>869</v>
      </c>
      <c r="M888" s="16">
        <f t="shared" si="27"/>
        <v>0.86813186813186816</v>
      </c>
      <c r="N888" t="s">
        <v>405</v>
      </c>
    </row>
    <row r="889" spans="1:14" x14ac:dyDescent="0.25">
      <c r="A889" t="s">
        <v>457</v>
      </c>
      <c r="B889" t="s">
        <v>525</v>
      </c>
      <c r="C889" t="s">
        <v>1390</v>
      </c>
      <c r="D889">
        <v>2</v>
      </c>
      <c r="E889">
        <v>2</v>
      </c>
      <c r="F889">
        <v>1001</v>
      </c>
      <c r="G889" s="14">
        <v>45932</v>
      </c>
      <c r="H889" s="14">
        <v>46161</v>
      </c>
      <c r="I889">
        <v>230</v>
      </c>
      <c r="J889" s="15">
        <v>1316</v>
      </c>
      <c r="K889" s="16">
        <f t="shared" si="26"/>
        <v>1.3146853146853146</v>
      </c>
      <c r="L889" s="15">
        <v>911</v>
      </c>
      <c r="M889" s="16">
        <f t="shared" si="27"/>
        <v>0.91008991008991014</v>
      </c>
      <c r="N889" t="s">
        <v>405</v>
      </c>
    </row>
    <row r="890" spans="1:14" x14ac:dyDescent="0.25">
      <c r="A890" t="s">
        <v>457</v>
      </c>
      <c r="B890" t="s">
        <v>525</v>
      </c>
      <c r="C890" t="s">
        <v>1391</v>
      </c>
      <c r="D890">
        <v>2</v>
      </c>
      <c r="E890">
        <v>2</v>
      </c>
      <c r="F890">
        <v>1001</v>
      </c>
      <c r="G890" s="14">
        <v>46027</v>
      </c>
      <c r="H890" s="14">
        <v>46161</v>
      </c>
      <c r="I890">
        <v>135</v>
      </c>
      <c r="J890" s="15">
        <v>1316</v>
      </c>
      <c r="K890" s="16">
        <f t="shared" si="26"/>
        <v>1.3146853146853146</v>
      </c>
      <c r="L890" s="15">
        <v>911</v>
      </c>
      <c r="M890" s="16">
        <f t="shared" si="27"/>
        <v>0.91008991008991014</v>
      </c>
      <c r="N890" t="s">
        <v>405</v>
      </c>
    </row>
    <row r="891" spans="1:14" x14ac:dyDescent="0.25">
      <c r="A891" t="s">
        <v>465</v>
      </c>
      <c r="B891" t="s">
        <v>551</v>
      </c>
      <c r="C891" t="s">
        <v>1392</v>
      </c>
      <c r="D891">
        <v>1</v>
      </c>
      <c r="E891">
        <v>1</v>
      </c>
      <c r="F891">
        <v>757</v>
      </c>
      <c r="G891" s="14">
        <v>46140</v>
      </c>
      <c r="H891" s="14">
        <v>46161</v>
      </c>
      <c r="I891">
        <v>22</v>
      </c>
      <c r="J891" s="15">
        <v>1196</v>
      </c>
      <c r="K891" s="16">
        <f t="shared" si="26"/>
        <v>1.5799207397622193</v>
      </c>
      <c r="L891" s="15">
        <v>856</v>
      </c>
      <c r="M891" s="16">
        <f t="shared" si="27"/>
        <v>1.130779392338177</v>
      </c>
      <c r="N891" t="s">
        <v>405</v>
      </c>
    </row>
    <row r="892" spans="1:14" x14ac:dyDescent="0.25">
      <c r="A892" t="s">
        <v>465</v>
      </c>
      <c r="B892" t="s">
        <v>551</v>
      </c>
      <c r="C892" t="s">
        <v>1393</v>
      </c>
      <c r="D892">
        <v>1</v>
      </c>
      <c r="E892">
        <v>1</v>
      </c>
      <c r="F892">
        <v>757</v>
      </c>
      <c r="G892" s="14">
        <v>46100</v>
      </c>
      <c r="H892" s="14">
        <v>46161</v>
      </c>
      <c r="I892">
        <v>62</v>
      </c>
      <c r="J892" s="15">
        <v>1231</v>
      </c>
      <c r="K892" s="16">
        <f t="shared" si="26"/>
        <v>1.6261558784676353</v>
      </c>
      <c r="L892" s="15">
        <v>1231</v>
      </c>
      <c r="M892" s="16">
        <f t="shared" si="27"/>
        <v>1.6261558784676353</v>
      </c>
      <c r="N892" t="s">
        <v>405</v>
      </c>
    </row>
    <row r="893" spans="1:14" x14ac:dyDescent="0.25">
      <c r="A893" t="s">
        <v>465</v>
      </c>
      <c r="B893" t="s">
        <v>551</v>
      </c>
      <c r="C893" t="s">
        <v>1394</v>
      </c>
      <c r="D893">
        <v>1</v>
      </c>
      <c r="E893">
        <v>1</v>
      </c>
      <c r="F893">
        <v>757</v>
      </c>
      <c r="G893" s="14">
        <v>46155</v>
      </c>
      <c r="H893" s="14">
        <v>46161</v>
      </c>
      <c r="I893">
        <v>7</v>
      </c>
      <c r="J893" s="15">
        <v>1241</v>
      </c>
      <c r="K893" s="16">
        <f t="shared" si="26"/>
        <v>1.6393659180977542</v>
      </c>
      <c r="L893" s="15">
        <v>888</v>
      </c>
      <c r="M893" s="16">
        <f t="shared" si="27"/>
        <v>1.1730515191545574</v>
      </c>
      <c r="N893" t="s">
        <v>405</v>
      </c>
    </row>
    <row r="894" spans="1:14" x14ac:dyDescent="0.25">
      <c r="A894" t="s">
        <v>465</v>
      </c>
      <c r="B894" t="s">
        <v>500</v>
      </c>
      <c r="C894" t="s">
        <v>1395</v>
      </c>
      <c r="D894">
        <v>2</v>
      </c>
      <c r="E894">
        <v>1</v>
      </c>
      <c r="F894">
        <v>912</v>
      </c>
      <c r="G894" s="14">
        <v>45995</v>
      </c>
      <c r="H894" s="14">
        <v>46161</v>
      </c>
      <c r="I894">
        <v>167</v>
      </c>
      <c r="J894" s="15">
        <v>1336</v>
      </c>
      <c r="K894" s="16">
        <f t="shared" si="26"/>
        <v>1.4649122807017543</v>
      </c>
      <c r="L894" s="15">
        <v>925</v>
      </c>
      <c r="M894" s="16">
        <f t="shared" si="27"/>
        <v>1.0142543859649122</v>
      </c>
      <c r="N894" t="s">
        <v>405</v>
      </c>
    </row>
    <row r="895" spans="1:14" x14ac:dyDescent="0.25">
      <c r="A895" t="s">
        <v>465</v>
      </c>
      <c r="B895" t="s">
        <v>603</v>
      </c>
      <c r="C895" t="s">
        <v>1396</v>
      </c>
      <c r="D895">
        <v>2</v>
      </c>
      <c r="E895">
        <v>2</v>
      </c>
      <c r="F895">
        <v>1011</v>
      </c>
      <c r="G895" s="14">
        <v>46080</v>
      </c>
      <c r="H895" s="14">
        <v>46161</v>
      </c>
      <c r="I895">
        <v>82</v>
      </c>
      <c r="J895" s="15">
        <v>1330</v>
      </c>
      <c r="K895" s="16">
        <f t="shared" si="26"/>
        <v>1.3155291790306627</v>
      </c>
      <c r="L895" s="15">
        <v>920</v>
      </c>
      <c r="M895" s="16">
        <f t="shared" si="27"/>
        <v>0.90999010880316522</v>
      </c>
      <c r="N895" t="s">
        <v>405</v>
      </c>
    </row>
    <row r="896" spans="1:14" x14ac:dyDescent="0.25">
      <c r="A896" t="s">
        <v>465</v>
      </c>
      <c r="B896" t="s">
        <v>502</v>
      </c>
      <c r="C896" t="s">
        <v>1397</v>
      </c>
      <c r="D896">
        <v>2</v>
      </c>
      <c r="E896">
        <v>2</v>
      </c>
      <c r="F896">
        <v>1011</v>
      </c>
      <c r="G896" s="14">
        <v>46125</v>
      </c>
      <c r="H896" s="14">
        <v>46161</v>
      </c>
      <c r="I896">
        <v>37</v>
      </c>
      <c r="J896" s="15">
        <v>1420</v>
      </c>
      <c r="K896" s="16">
        <f t="shared" si="26"/>
        <v>1.4045499505440158</v>
      </c>
      <c r="L896" s="15">
        <v>983</v>
      </c>
      <c r="M896" s="16">
        <f t="shared" si="27"/>
        <v>0.97230464886251233</v>
      </c>
      <c r="N896" t="s">
        <v>405</v>
      </c>
    </row>
    <row r="897" spans="1:14" x14ac:dyDescent="0.25">
      <c r="A897" t="s">
        <v>465</v>
      </c>
      <c r="B897" t="s">
        <v>502</v>
      </c>
      <c r="C897" t="s">
        <v>1398</v>
      </c>
      <c r="D897">
        <v>2</v>
      </c>
      <c r="E897">
        <v>2</v>
      </c>
      <c r="F897">
        <v>1011</v>
      </c>
      <c r="G897" s="14">
        <v>46125</v>
      </c>
      <c r="H897" s="14">
        <v>46161</v>
      </c>
      <c r="I897">
        <v>37</v>
      </c>
      <c r="J897" s="15">
        <v>1430</v>
      </c>
      <c r="K897" s="16">
        <f t="shared" si="26"/>
        <v>1.4144411473788328</v>
      </c>
      <c r="L897" s="15">
        <v>990</v>
      </c>
      <c r="M897" s="16">
        <f t="shared" si="27"/>
        <v>0.97922848664688422</v>
      </c>
      <c r="N897" t="s">
        <v>405</v>
      </c>
    </row>
    <row r="898" spans="1:14" x14ac:dyDescent="0.25">
      <c r="A898" t="s">
        <v>465</v>
      </c>
      <c r="B898" t="s">
        <v>601</v>
      </c>
      <c r="C898" t="s">
        <v>1399</v>
      </c>
      <c r="D898">
        <v>2</v>
      </c>
      <c r="E898">
        <v>2</v>
      </c>
      <c r="F898">
        <v>1081</v>
      </c>
      <c r="G898" s="14">
        <v>46057</v>
      </c>
      <c r="H898" s="14">
        <v>46161</v>
      </c>
      <c r="I898">
        <v>105</v>
      </c>
      <c r="J898" s="15">
        <v>1500</v>
      </c>
      <c r="K898" s="16">
        <f t="shared" ref="K898:K961" si="28">IFERROR(J898/F898,0)</f>
        <v>1.387604070305273</v>
      </c>
      <c r="L898" s="15">
        <v>1038</v>
      </c>
      <c r="M898" s="16">
        <f t="shared" ref="M898:M961" si="29">IFERROR(L898/F898,0)</f>
        <v>0.96022201665124884</v>
      </c>
      <c r="N898" t="s">
        <v>405</v>
      </c>
    </row>
    <row r="899" spans="1:14" x14ac:dyDescent="0.25">
      <c r="A899" t="s">
        <v>465</v>
      </c>
      <c r="B899" t="s">
        <v>781</v>
      </c>
      <c r="C899" t="s">
        <v>1400</v>
      </c>
      <c r="D899">
        <v>3</v>
      </c>
      <c r="E899">
        <v>2</v>
      </c>
      <c r="F899">
        <v>1181</v>
      </c>
      <c r="G899" s="14">
        <v>46010</v>
      </c>
      <c r="H899" s="14">
        <v>46161</v>
      </c>
      <c r="I899">
        <v>152</v>
      </c>
      <c r="J899" s="15">
        <v>1779</v>
      </c>
      <c r="K899" s="16">
        <f t="shared" si="28"/>
        <v>1.506350550381033</v>
      </c>
      <c r="L899" s="15">
        <v>1231</v>
      </c>
      <c r="M899" s="16">
        <f t="shared" si="29"/>
        <v>1.0423370025402201</v>
      </c>
      <c r="N899" t="s">
        <v>405</v>
      </c>
    </row>
    <row r="900" spans="1:14" x14ac:dyDescent="0.25">
      <c r="A900" t="s">
        <v>486</v>
      </c>
      <c r="B900" t="s">
        <v>640</v>
      </c>
      <c r="C900" t="s">
        <v>1401</v>
      </c>
      <c r="D900">
        <v>1</v>
      </c>
      <c r="E900">
        <v>1</v>
      </c>
      <c r="F900">
        <v>650</v>
      </c>
      <c r="G900" s="14">
        <v>46091</v>
      </c>
      <c r="H900" s="14">
        <v>46162</v>
      </c>
      <c r="I900">
        <v>72</v>
      </c>
      <c r="J900" s="15">
        <v>1098</v>
      </c>
      <c r="K900" s="16">
        <f t="shared" si="28"/>
        <v>1.6892307692307693</v>
      </c>
      <c r="L900" s="15">
        <v>786</v>
      </c>
      <c r="M900" s="16">
        <f t="shared" si="29"/>
        <v>1.2092307692307693</v>
      </c>
      <c r="N900" t="s">
        <v>405</v>
      </c>
    </row>
    <row r="901" spans="1:14" x14ac:dyDescent="0.25">
      <c r="A901" t="s">
        <v>486</v>
      </c>
      <c r="B901" t="s">
        <v>510</v>
      </c>
      <c r="C901" t="s">
        <v>1402</v>
      </c>
      <c r="D901">
        <v>1</v>
      </c>
      <c r="E901">
        <v>1</v>
      </c>
      <c r="F901">
        <v>650</v>
      </c>
      <c r="G901" s="14">
        <v>45997</v>
      </c>
      <c r="H901" s="14">
        <v>46162</v>
      </c>
      <c r="I901">
        <v>166</v>
      </c>
      <c r="J901" s="15">
        <v>1213</v>
      </c>
      <c r="K901" s="16">
        <f t="shared" si="28"/>
        <v>1.8661538461538461</v>
      </c>
      <c r="L901" s="15">
        <v>868</v>
      </c>
      <c r="M901" s="16">
        <f t="shared" si="29"/>
        <v>1.3353846153846154</v>
      </c>
      <c r="N901" t="s">
        <v>405</v>
      </c>
    </row>
    <row r="902" spans="1:14" x14ac:dyDescent="0.25">
      <c r="A902" t="s">
        <v>486</v>
      </c>
      <c r="B902" t="s">
        <v>581</v>
      </c>
      <c r="C902" t="s">
        <v>1403</v>
      </c>
      <c r="D902">
        <v>1</v>
      </c>
      <c r="E902">
        <v>1</v>
      </c>
      <c r="F902">
        <v>650</v>
      </c>
      <c r="G902" s="14">
        <v>46119</v>
      </c>
      <c r="H902" s="14">
        <v>46162</v>
      </c>
      <c r="I902">
        <v>44</v>
      </c>
      <c r="J902" s="15">
        <v>1248</v>
      </c>
      <c r="K902" s="16">
        <f t="shared" si="28"/>
        <v>1.92</v>
      </c>
      <c r="L902" s="15">
        <v>893</v>
      </c>
      <c r="M902" s="16">
        <f t="shared" si="29"/>
        <v>1.3738461538461539</v>
      </c>
      <c r="N902" t="s">
        <v>405</v>
      </c>
    </row>
    <row r="903" spans="1:14" x14ac:dyDescent="0.25">
      <c r="A903" t="s">
        <v>486</v>
      </c>
      <c r="B903" t="s">
        <v>591</v>
      </c>
      <c r="C903" t="s">
        <v>1404</v>
      </c>
      <c r="D903">
        <v>2</v>
      </c>
      <c r="E903">
        <v>1</v>
      </c>
      <c r="F903">
        <v>860</v>
      </c>
      <c r="G903" s="14">
        <v>46083</v>
      </c>
      <c r="H903" s="14">
        <v>46162</v>
      </c>
      <c r="I903">
        <v>80</v>
      </c>
      <c r="J903" s="15">
        <v>1462</v>
      </c>
      <c r="K903" s="16">
        <f t="shared" si="28"/>
        <v>1.7</v>
      </c>
      <c r="L903" s="15">
        <v>1076</v>
      </c>
      <c r="M903" s="16">
        <f t="shared" si="29"/>
        <v>1.2511627906976743</v>
      </c>
      <c r="N903" t="s">
        <v>405</v>
      </c>
    </row>
    <row r="904" spans="1:14" x14ac:dyDescent="0.25">
      <c r="A904" t="s">
        <v>486</v>
      </c>
      <c r="B904" t="s">
        <v>615</v>
      </c>
      <c r="C904" t="s">
        <v>1405</v>
      </c>
      <c r="D904">
        <v>2</v>
      </c>
      <c r="E904">
        <v>2</v>
      </c>
      <c r="F904">
        <v>1000</v>
      </c>
      <c r="G904" s="14">
        <v>45873</v>
      </c>
      <c r="H904" s="14">
        <v>46162</v>
      </c>
      <c r="I904">
        <v>290</v>
      </c>
      <c r="J904" s="15">
        <v>1341</v>
      </c>
      <c r="K904" s="16">
        <f t="shared" si="28"/>
        <v>1.341</v>
      </c>
      <c r="L904" s="15">
        <v>960</v>
      </c>
      <c r="M904" s="16">
        <f t="shared" si="29"/>
        <v>0.96</v>
      </c>
      <c r="N904" t="s">
        <v>405</v>
      </c>
    </row>
    <row r="905" spans="1:14" x14ac:dyDescent="0.25">
      <c r="A905" t="s">
        <v>451</v>
      </c>
      <c r="B905" t="s">
        <v>460</v>
      </c>
      <c r="C905" t="s">
        <v>639</v>
      </c>
      <c r="D905">
        <v>1</v>
      </c>
      <c r="E905">
        <v>1</v>
      </c>
      <c r="F905">
        <v>726</v>
      </c>
      <c r="G905" s="14">
        <v>46010</v>
      </c>
      <c r="H905" s="14">
        <v>46163</v>
      </c>
      <c r="I905">
        <v>154</v>
      </c>
      <c r="J905" s="15">
        <v>1200</v>
      </c>
      <c r="K905" s="16">
        <f t="shared" si="28"/>
        <v>1.6528925619834711</v>
      </c>
      <c r="L905" s="15">
        <v>1100</v>
      </c>
      <c r="M905" s="16">
        <f t="shared" si="29"/>
        <v>1.5151515151515151</v>
      </c>
      <c r="N905" t="s">
        <v>405</v>
      </c>
    </row>
    <row r="906" spans="1:14" x14ac:dyDescent="0.25">
      <c r="A906" t="s">
        <v>451</v>
      </c>
      <c r="B906" t="s">
        <v>468</v>
      </c>
      <c r="C906" t="s">
        <v>1406</v>
      </c>
      <c r="D906">
        <v>2</v>
      </c>
      <c r="E906">
        <v>2</v>
      </c>
      <c r="F906">
        <v>810</v>
      </c>
      <c r="G906" s="14">
        <v>46123</v>
      </c>
      <c r="H906" s="14">
        <v>46163</v>
      </c>
      <c r="I906">
        <v>41</v>
      </c>
      <c r="J906" s="15">
        <v>1400</v>
      </c>
      <c r="K906" s="16">
        <f t="shared" si="28"/>
        <v>1.728395061728395</v>
      </c>
      <c r="L906" s="15">
        <v>1283</v>
      </c>
      <c r="M906" s="16">
        <f t="shared" si="29"/>
        <v>1.5839506172839506</v>
      </c>
      <c r="N906" t="s">
        <v>405</v>
      </c>
    </row>
    <row r="907" spans="1:14" x14ac:dyDescent="0.25">
      <c r="A907" t="s">
        <v>451</v>
      </c>
      <c r="B907" t="s">
        <v>468</v>
      </c>
      <c r="C907" t="s">
        <v>1407</v>
      </c>
      <c r="D907">
        <v>2</v>
      </c>
      <c r="E907">
        <v>2</v>
      </c>
      <c r="F907">
        <v>810</v>
      </c>
      <c r="G907" s="14">
        <v>46105</v>
      </c>
      <c r="H907" s="14">
        <v>46163</v>
      </c>
      <c r="I907">
        <v>59</v>
      </c>
      <c r="J907" s="15">
        <v>1400</v>
      </c>
      <c r="K907" s="16">
        <f t="shared" si="28"/>
        <v>1.728395061728395</v>
      </c>
      <c r="L907" s="15">
        <v>1283</v>
      </c>
      <c r="M907" s="16">
        <f t="shared" si="29"/>
        <v>1.5839506172839506</v>
      </c>
      <c r="N907" t="s">
        <v>405</v>
      </c>
    </row>
    <row r="908" spans="1:14" x14ac:dyDescent="0.25">
      <c r="A908" t="s">
        <v>483</v>
      </c>
      <c r="B908" t="s">
        <v>484</v>
      </c>
      <c r="D908">
        <v>2</v>
      </c>
      <c r="E908">
        <v>2</v>
      </c>
      <c r="F908">
        <v>991</v>
      </c>
      <c r="G908" s="14">
        <v>46165</v>
      </c>
      <c r="H908" s="14">
        <v>46166</v>
      </c>
      <c r="I908">
        <v>2</v>
      </c>
      <c r="J908" s="15">
        <v>1292</v>
      </c>
      <c r="K908" s="16">
        <f t="shared" si="28"/>
        <v>1.3037336024217963</v>
      </c>
      <c r="L908" s="15">
        <v>1292</v>
      </c>
      <c r="M908" s="16">
        <f t="shared" si="29"/>
        <v>1.3037336024217963</v>
      </c>
      <c r="N908" t="s">
        <v>405</v>
      </c>
    </row>
    <row r="909" spans="1:14" x14ac:dyDescent="0.25">
      <c r="A909" t="s">
        <v>462</v>
      </c>
      <c r="B909" t="s">
        <v>470</v>
      </c>
      <c r="C909" t="s">
        <v>1408</v>
      </c>
      <c r="D909">
        <v>1</v>
      </c>
      <c r="E909">
        <v>1</v>
      </c>
      <c r="F909">
        <v>732</v>
      </c>
      <c r="G909" s="14">
        <v>46070</v>
      </c>
      <c r="H909" s="14">
        <v>46167</v>
      </c>
      <c r="I909">
        <v>98</v>
      </c>
      <c r="J909" s="15">
        <v>1450</v>
      </c>
      <c r="K909" s="16">
        <f t="shared" si="28"/>
        <v>1.9808743169398908</v>
      </c>
      <c r="L909" s="15">
        <v>1088</v>
      </c>
      <c r="M909" s="16">
        <f t="shared" si="29"/>
        <v>1.4863387978142077</v>
      </c>
      <c r="N909" t="s">
        <v>405</v>
      </c>
    </row>
    <row r="910" spans="1:14" x14ac:dyDescent="0.25">
      <c r="A910" t="s">
        <v>462</v>
      </c>
      <c r="B910" t="s">
        <v>470</v>
      </c>
      <c r="C910" t="s">
        <v>1409</v>
      </c>
      <c r="D910">
        <v>1</v>
      </c>
      <c r="E910">
        <v>1</v>
      </c>
      <c r="F910">
        <v>732</v>
      </c>
      <c r="G910" s="14">
        <v>45987</v>
      </c>
      <c r="H910" s="14">
        <v>46170</v>
      </c>
      <c r="I910">
        <v>184</v>
      </c>
      <c r="J910" s="15">
        <v>1450</v>
      </c>
      <c r="K910" s="16">
        <f t="shared" si="28"/>
        <v>1.9808743169398908</v>
      </c>
      <c r="L910" s="15">
        <v>1088</v>
      </c>
      <c r="M910" s="16">
        <f t="shared" si="29"/>
        <v>1.4863387978142077</v>
      </c>
      <c r="N910" t="s">
        <v>405</v>
      </c>
    </row>
    <row r="911" spans="1:14" x14ac:dyDescent="0.25">
      <c r="A911" t="s">
        <v>462</v>
      </c>
      <c r="B911" t="s">
        <v>470</v>
      </c>
      <c r="C911" t="s">
        <v>1410</v>
      </c>
      <c r="D911">
        <v>1</v>
      </c>
      <c r="E911">
        <v>1</v>
      </c>
      <c r="F911">
        <v>732</v>
      </c>
      <c r="G911" s="14">
        <v>46070</v>
      </c>
      <c r="H911" s="14">
        <v>46170</v>
      </c>
      <c r="I911">
        <v>101</v>
      </c>
      <c r="J911" s="15">
        <v>1500</v>
      </c>
      <c r="K911" s="16">
        <f t="shared" si="28"/>
        <v>2.0491803278688523</v>
      </c>
      <c r="L911" s="15">
        <v>1125</v>
      </c>
      <c r="M911" s="16">
        <f t="shared" si="29"/>
        <v>1.5368852459016393</v>
      </c>
      <c r="N911" t="s">
        <v>405</v>
      </c>
    </row>
    <row r="912" spans="1:14" x14ac:dyDescent="0.25">
      <c r="A912" t="s">
        <v>462</v>
      </c>
      <c r="B912" t="s">
        <v>470</v>
      </c>
      <c r="C912" t="s">
        <v>1411</v>
      </c>
      <c r="D912">
        <v>1</v>
      </c>
      <c r="E912">
        <v>1</v>
      </c>
      <c r="F912">
        <v>732</v>
      </c>
      <c r="G912" s="14">
        <v>46112</v>
      </c>
      <c r="H912" s="14">
        <v>46170</v>
      </c>
      <c r="I912">
        <v>59</v>
      </c>
      <c r="J912" s="15">
        <v>1500</v>
      </c>
      <c r="K912" s="16">
        <f t="shared" si="28"/>
        <v>2.0491803278688523</v>
      </c>
      <c r="L912" s="15">
        <v>1125</v>
      </c>
      <c r="M912" s="16">
        <f t="shared" si="29"/>
        <v>1.5368852459016393</v>
      </c>
      <c r="N912" t="s">
        <v>405</v>
      </c>
    </row>
    <row r="913" spans="1:14" x14ac:dyDescent="0.25">
      <c r="A913" t="s">
        <v>462</v>
      </c>
      <c r="B913" t="s">
        <v>470</v>
      </c>
      <c r="C913" t="s">
        <v>1412</v>
      </c>
      <c r="D913">
        <v>1</v>
      </c>
      <c r="E913">
        <v>1</v>
      </c>
      <c r="F913">
        <v>732</v>
      </c>
      <c r="G913" s="14">
        <v>46095</v>
      </c>
      <c r="H913" s="14">
        <v>46170</v>
      </c>
      <c r="I913">
        <v>76</v>
      </c>
      <c r="J913" s="15">
        <v>1500</v>
      </c>
      <c r="K913" s="16">
        <f t="shared" si="28"/>
        <v>2.0491803278688523</v>
      </c>
      <c r="L913" s="15">
        <v>1125</v>
      </c>
      <c r="M913" s="16">
        <f t="shared" si="29"/>
        <v>1.5368852459016393</v>
      </c>
      <c r="N913" t="s">
        <v>405</v>
      </c>
    </row>
    <row r="914" spans="1:14" x14ac:dyDescent="0.25">
      <c r="A914" t="s">
        <v>462</v>
      </c>
      <c r="B914" t="s">
        <v>470</v>
      </c>
      <c r="C914" t="s">
        <v>1413</v>
      </c>
      <c r="D914">
        <v>1</v>
      </c>
      <c r="E914">
        <v>1</v>
      </c>
      <c r="F914">
        <v>732</v>
      </c>
      <c r="G914" s="14">
        <v>46114</v>
      </c>
      <c r="H914" s="14">
        <v>46170</v>
      </c>
      <c r="I914">
        <v>57</v>
      </c>
      <c r="J914" s="15">
        <v>1550</v>
      </c>
      <c r="K914" s="16">
        <f t="shared" si="28"/>
        <v>2.1174863387978142</v>
      </c>
      <c r="L914" s="15">
        <v>1162</v>
      </c>
      <c r="M914" s="16">
        <f t="shared" si="29"/>
        <v>1.5874316939890711</v>
      </c>
      <c r="N914" t="s">
        <v>405</v>
      </c>
    </row>
    <row r="915" spans="1:14" x14ac:dyDescent="0.25">
      <c r="A915" t="s">
        <v>462</v>
      </c>
      <c r="B915" t="s">
        <v>475</v>
      </c>
      <c r="C915" t="s">
        <v>1407</v>
      </c>
      <c r="D915">
        <v>2</v>
      </c>
      <c r="E915">
        <v>2</v>
      </c>
      <c r="F915">
        <v>1029</v>
      </c>
      <c r="G915" s="14">
        <v>46070</v>
      </c>
      <c r="H915" s="14">
        <v>46170</v>
      </c>
      <c r="I915">
        <v>101</v>
      </c>
      <c r="J915" s="15">
        <v>1650</v>
      </c>
      <c r="K915" s="16">
        <f t="shared" si="28"/>
        <v>1.6034985422740524</v>
      </c>
      <c r="L915" s="15">
        <v>1238</v>
      </c>
      <c r="M915" s="16">
        <f t="shared" si="29"/>
        <v>1.2031098153547133</v>
      </c>
      <c r="N915" t="s">
        <v>405</v>
      </c>
    </row>
    <row r="916" spans="1:14" x14ac:dyDescent="0.25">
      <c r="A916" t="s">
        <v>462</v>
      </c>
      <c r="B916" t="s">
        <v>475</v>
      </c>
      <c r="C916" t="s">
        <v>1414</v>
      </c>
      <c r="D916">
        <v>2</v>
      </c>
      <c r="E916">
        <v>2</v>
      </c>
      <c r="F916">
        <v>1029</v>
      </c>
      <c r="G916" s="14">
        <v>46126</v>
      </c>
      <c r="H916" s="14">
        <v>46170</v>
      </c>
      <c r="I916">
        <v>45</v>
      </c>
      <c r="J916" s="15">
        <v>1675</v>
      </c>
      <c r="K916" s="16">
        <f t="shared" si="28"/>
        <v>1.6277939747327503</v>
      </c>
      <c r="L916" s="15">
        <v>1256</v>
      </c>
      <c r="M916" s="16">
        <f t="shared" si="29"/>
        <v>1.2206025267249756</v>
      </c>
      <c r="N916" t="s">
        <v>405</v>
      </c>
    </row>
    <row r="917" spans="1:14" x14ac:dyDescent="0.25">
      <c r="A917" t="s">
        <v>462</v>
      </c>
      <c r="B917" t="s">
        <v>507</v>
      </c>
      <c r="C917" t="s">
        <v>727</v>
      </c>
      <c r="D917">
        <v>3</v>
      </c>
      <c r="E917">
        <v>2</v>
      </c>
      <c r="F917">
        <v>1345</v>
      </c>
      <c r="G917" s="14">
        <v>46126</v>
      </c>
      <c r="H917" s="14">
        <v>46170</v>
      </c>
      <c r="I917">
        <v>45</v>
      </c>
      <c r="J917" s="15">
        <v>2200</v>
      </c>
      <c r="K917" s="16">
        <f t="shared" si="28"/>
        <v>1.6356877323420074</v>
      </c>
      <c r="L917" s="15">
        <v>1650</v>
      </c>
      <c r="M917" s="16">
        <f t="shared" si="29"/>
        <v>1.2267657992565055</v>
      </c>
      <c r="N917" t="s">
        <v>405</v>
      </c>
    </row>
    <row r="918" spans="1:14" x14ac:dyDescent="0.25">
      <c r="A918" t="s">
        <v>462</v>
      </c>
      <c r="B918" t="s">
        <v>553</v>
      </c>
      <c r="C918" t="s">
        <v>1415</v>
      </c>
      <c r="D918">
        <v>3</v>
      </c>
      <c r="E918">
        <v>2</v>
      </c>
      <c r="F918">
        <v>1166</v>
      </c>
      <c r="G918" s="14">
        <v>46112</v>
      </c>
      <c r="H918" s="14">
        <v>46171</v>
      </c>
      <c r="I918">
        <v>60</v>
      </c>
      <c r="J918" s="15">
        <v>2000</v>
      </c>
      <c r="K918" s="16">
        <f t="shared" si="28"/>
        <v>1.7152658662092624</v>
      </c>
      <c r="L918" s="15">
        <v>1500</v>
      </c>
      <c r="M918" s="16">
        <f t="shared" si="29"/>
        <v>1.2864493996569468</v>
      </c>
      <c r="N918" t="s">
        <v>405</v>
      </c>
    </row>
    <row r="919" spans="1:14" x14ac:dyDescent="0.25">
      <c r="A919" t="s">
        <v>465</v>
      </c>
      <c r="B919" t="s">
        <v>551</v>
      </c>
      <c r="C919" t="s">
        <v>1416</v>
      </c>
      <c r="D919">
        <v>1</v>
      </c>
      <c r="E919">
        <v>1</v>
      </c>
      <c r="F919">
        <v>757</v>
      </c>
      <c r="G919" s="14">
        <v>46043</v>
      </c>
      <c r="H919" s="14">
        <v>46173</v>
      </c>
      <c r="I919">
        <v>131</v>
      </c>
      <c r="J919" s="15">
        <v>1231</v>
      </c>
      <c r="K919" s="16">
        <f t="shared" si="28"/>
        <v>1.6261558784676353</v>
      </c>
      <c r="L919" s="15">
        <v>852</v>
      </c>
      <c r="M919" s="16">
        <f t="shared" si="29"/>
        <v>1.1254953764861295</v>
      </c>
      <c r="N919" t="s">
        <v>405</v>
      </c>
    </row>
    <row r="920" spans="1:14" x14ac:dyDescent="0.25">
      <c r="A920" t="s">
        <v>457</v>
      </c>
      <c r="B920" t="s">
        <v>525</v>
      </c>
      <c r="C920" t="s">
        <v>1417</v>
      </c>
      <c r="D920">
        <v>2</v>
      </c>
      <c r="E920">
        <v>2</v>
      </c>
      <c r="F920">
        <v>1001</v>
      </c>
      <c r="G920" s="14">
        <v>46030</v>
      </c>
      <c r="H920" s="14">
        <v>46175</v>
      </c>
      <c r="I920">
        <v>146</v>
      </c>
      <c r="J920" s="15">
        <v>1244</v>
      </c>
      <c r="K920" s="16">
        <f t="shared" si="28"/>
        <v>1.2427572427572429</v>
      </c>
      <c r="L920" s="15">
        <v>861</v>
      </c>
      <c r="M920" s="16">
        <f t="shared" si="29"/>
        <v>0.8601398601398601</v>
      </c>
      <c r="N920" t="s">
        <v>418</v>
      </c>
    </row>
    <row r="921" spans="1:14" x14ac:dyDescent="0.25">
      <c r="A921" t="s">
        <v>472</v>
      </c>
      <c r="B921" t="s">
        <v>473</v>
      </c>
      <c r="C921" t="s">
        <v>1418</v>
      </c>
      <c r="D921">
        <v>2</v>
      </c>
      <c r="E921">
        <v>1</v>
      </c>
      <c r="F921">
        <v>800</v>
      </c>
      <c r="G921" s="14">
        <v>46172</v>
      </c>
      <c r="H921" s="14">
        <v>46176</v>
      </c>
      <c r="I921">
        <v>5</v>
      </c>
      <c r="J921" s="15">
        <v>1348</v>
      </c>
      <c r="K921" s="16">
        <f t="shared" si="28"/>
        <v>1.6850000000000001</v>
      </c>
      <c r="L921" s="15">
        <v>1123</v>
      </c>
      <c r="M921" s="16">
        <f t="shared" si="29"/>
        <v>1.4037500000000001</v>
      </c>
      <c r="N921" t="s">
        <v>418</v>
      </c>
    </row>
    <row r="922" spans="1:14" x14ac:dyDescent="0.25">
      <c r="A922" t="s">
        <v>457</v>
      </c>
      <c r="B922" t="s">
        <v>523</v>
      </c>
      <c r="C922" t="s">
        <v>1419</v>
      </c>
      <c r="D922">
        <v>2</v>
      </c>
      <c r="E922">
        <v>2</v>
      </c>
      <c r="F922">
        <v>1001</v>
      </c>
      <c r="G922" s="14">
        <v>46065</v>
      </c>
      <c r="H922" s="14">
        <v>46176</v>
      </c>
      <c r="I922">
        <v>112</v>
      </c>
      <c r="J922" s="15">
        <v>1224</v>
      </c>
      <c r="K922" s="16">
        <f t="shared" si="28"/>
        <v>1.2227772227772227</v>
      </c>
      <c r="L922" s="15">
        <v>847</v>
      </c>
      <c r="M922" s="16">
        <f t="shared" si="29"/>
        <v>0.84615384615384615</v>
      </c>
      <c r="N922" t="s">
        <v>418</v>
      </c>
    </row>
    <row r="923" spans="1:14" x14ac:dyDescent="0.25">
      <c r="A923" t="s">
        <v>457</v>
      </c>
      <c r="B923" t="s">
        <v>525</v>
      </c>
      <c r="C923" t="s">
        <v>1420</v>
      </c>
      <c r="D923">
        <v>2</v>
      </c>
      <c r="E923">
        <v>2</v>
      </c>
      <c r="F923">
        <v>1001</v>
      </c>
      <c r="G923" s="14">
        <v>46072</v>
      </c>
      <c r="H923" s="14">
        <v>46176</v>
      </c>
      <c r="I923">
        <v>105</v>
      </c>
      <c r="J923" s="15">
        <v>1229</v>
      </c>
      <c r="K923" s="16">
        <f t="shared" si="28"/>
        <v>1.2277722277722278</v>
      </c>
      <c r="L923" s="15">
        <v>851</v>
      </c>
      <c r="M923" s="16">
        <f t="shared" si="29"/>
        <v>0.85014985014985012</v>
      </c>
      <c r="N923" t="s">
        <v>418</v>
      </c>
    </row>
    <row r="924" spans="1:14" x14ac:dyDescent="0.25">
      <c r="A924" t="s">
        <v>465</v>
      </c>
      <c r="B924" t="s">
        <v>500</v>
      </c>
      <c r="C924" t="s">
        <v>1421</v>
      </c>
      <c r="D924">
        <v>2</v>
      </c>
      <c r="E924">
        <v>1</v>
      </c>
      <c r="F924">
        <v>912</v>
      </c>
      <c r="G924" s="14">
        <v>46155</v>
      </c>
      <c r="H924" s="14">
        <v>46176</v>
      </c>
      <c r="I924">
        <v>22</v>
      </c>
      <c r="J924" s="15">
        <v>1336</v>
      </c>
      <c r="K924" s="16">
        <f t="shared" si="28"/>
        <v>1.4649122807017543</v>
      </c>
      <c r="L924" s="15">
        <v>1336</v>
      </c>
      <c r="M924" s="16">
        <f t="shared" si="29"/>
        <v>1.4649122807017543</v>
      </c>
      <c r="N924" t="s">
        <v>418</v>
      </c>
    </row>
    <row r="925" spans="1:14" x14ac:dyDescent="0.25">
      <c r="A925" t="s">
        <v>465</v>
      </c>
      <c r="B925" t="s">
        <v>502</v>
      </c>
      <c r="C925" t="s">
        <v>1422</v>
      </c>
      <c r="D925">
        <v>2</v>
      </c>
      <c r="E925">
        <v>2</v>
      </c>
      <c r="F925">
        <v>1011</v>
      </c>
      <c r="G925" s="14">
        <v>46140</v>
      </c>
      <c r="H925" s="14">
        <v>46176</v>
      </c>
      <c r="I925">
        <v>37</v>
      </c>
      <c r="J925" s="15">
        <v>1450</v>
      </c>
      <c r="K925" s="16">
        <f t="shared" si="28"/>
        <v>1.4342235410484669</v>
      </c>
      <c r="L925" s="15">
        <v>1450</v>
      </c>
      <c r="M925" s="16">
        <f t="shared" si="29"/>
        <v>1.4342235410484669</v>
      </c>
      <c r="N925" t="s">
        <v>418</v>
      </c>
    </row>
    <row r="926" spans="1:14" x14ac:dyDescent="0.25">
      <c r="A926" t="s">
        <v>451</v>
      </c>
      <c r="B926" t="s">
        <v>468</v>
      </c>
      <c r="C926" t="s">
        <v>1423</v>
      </c>
      <c r="D926">
        <v>2</v>
      </c>
      <c r="E926">
        <v>2</v>
      </c>
      <c r="F926">
        <v>810</v>
      </c>
      <c r="G926" s="14">
        <v>46140</v>
      </c>
      <c r="H926" s="14">
        <v>46177</v>
      </c>
      <c r="I926">
        <v>38</v>
      </c>
      <c r="J926" s="15">
        <v>1400</v>
      </c>
      <c r="K926" s="16">
        <f t="shared" si="28"/>
        <v>1.728395061728395</v>
      </c>
      <c r="L926" s="15">
        <v>1283</v>
      </c>
      <c r="M926" s="16">
        <f t="shared" si="29"/>
        <v>1.5839506172839506</v>
      </c>
      <c r="N926" t="s">
        <v>418</v>
      </c>
    </row>
    <row r="927" spans="1:14" x14ac:dyDescent="0.25">
      <c r="A927" t="s">
        <v>486</v>
      </c>
      <c r="B927" t="s">
        <v>1424</v>
      </c>
      <c r="C927" t="s">
        <v>1425</v>
      </c>
      <c r="D927">
        <v>2</v>
      </c>
      <c r="E927">
        <v>1</v>
      </c>
      <c r="F927">
        <v>860</v>
      </c>
      <c r="G927" s="14">
        <v>46143</v>
      </c>
      <c r="H927" s="14">
        <v>46177</v>
      </c>
      <c r="I927">
        <v>35</v>
      </c>
      <c r="J927" s="15">
        <v>1372</v>
      </c>
      <c r="K927" s="16">
        <f t="shared" si="28"/>
        <v>1.5953488372093023</v>
      </c>
      <c r="L927" s="15">
        <v>1108</v>
      </c>
      <c r="M927" s="16">
        <f t="shared" si="29"/>
        <v>1.2883720930232558</v>
      </c>
      <c r="N927" t="s">
        <v>418</v>
      </c>
    </row>
    <row r="928" spans="1:14" x14ac:dyDescent="0.25">
      <c r="A928" t="s">
        <v>457</v>
      </c>
      <c r="B928" t="s">
        <v>562</v>
      </c>
      <c r="C928" t="s">
        <v>1426</v>
      </c>
      <c r="D928">
        <v>2</v>
      </c>
      <c r="E928">
        <v>2</v>
      </c>
      <c r="F928">
        <v>1001</v>
      </c>
      <c r="G928" s="14">
        <v>46085</v>
      </c>
      <c r="H928" s="14">
        <v>46177</v>
      </c>
      <c r="I928">
        <v>93</v>
      </c>
      <c r="J928" s="15">
        <v>1169</v>
      </c>
      <c r="K928" s="16">
        <f t="shared" si="28"/>
        <v>1.1678321678321679</v>
      </c>
      <c r="L928" s="15">
        <v>860</v>
      </c>
      <c r="M928" s="16">
        <f t="shared" si="29"/>
        <v>0.85914085914085914</v>
      </c>
      <c r="N928" t="s">
        <v>418</v>
      </c>
    </row>
    <row r="929" spans="1:14" x14ac:dyDescent="0.25">
      <c r="A929" t="s">
        <v>457</v>
      </c>
      <c r="B929" t="s">
        <v>562</v>
      </c>
      <c r="C929" t="s">
        <v>1427</v>
      </c>
      <c r="D929">
        <v>2</v>
      </c>
      <c r="E929">
        <v>2</v>
      </c>
      <c r="F929">
        <v>1001</v>
      </c>
      <c r="G929" s="14">
        <v>46140</v>
      </c>
      <c r="H929" s="14">
        <v>46177</v>
      </c>
      <c r="I929">
        <v>38</v>
      </c>
      <c r="J929" s="15">
        <v>1184</v>
      </c>
      <c r="K929" s="16">
        <f t="shared" si="28"/>
        <v>1.1828171828171827</v>
      </c>
      <c r="L929" s="15">
        <v>871</v>
      </c>
      <c r="M929" s="16">
        <f t="shared" si="29"/>
        <v>0.87012987012987009</v>
      </c>
      <c r="N929" t="s">
        <v>418</v>
      </c>
    </row>
    <row r="930" spans="1:14" x14ac:dyDescent="0.25">
      <c r="A930" t="s">
        <v>462</v>
      </c>
      <c r="B930" t="s">
        <v>463</v>
      </c>
      <c r="C930" t="s">
        <v>1428</v>
      </c>
      <c r="D930">
        <v>2</v>
      </c>
      <c r="E930">
        <v>2</v>
      </c>
      <c r="F930">
        <v>958</v>
      </c>
      <c r="G930" s="14">
        <v>46171</v>
      </c>
      <c r="H930" s="14">
        <v>46178</v>
      </c>
      <c r="I930">
        <v>8</v>
      </c>
      <c r="J930" s="15">
        <v>1650</v>
      </c>
      <c r="K930" s="16">
        <f t="shared" si="28"/>
        <v>1.7223382045929019</v>
      </c>
      <c r="L930" s="15">
        <v>1238</v>
      </c>
      <c r="M930" s="16">
        <f t="shared" si="29"/>
        <v>1.292275574112735</v>
      </c>
      <c r="N930" t="s">
        <v>418</v>
      </c>
    </row>
    <row r="931" spans="1:14" x14ac:dyDescent="0.25">
      <c r="A931" t="s">
        <v>457</v>
      </c>
      <c r="B931" t="s">
        <v>525</v>
      </c>
      <c r="C931" t="s">
        <v>1429</v>
      </c>
      <c r="D931">
        <v>2</v>
      </c>
      <c r="E931">
        <v>2</v>
      </c>
      <c r="F931">
        <v>1001</v>
      </c>
      <c r="G931" s="14">
        <v>46037</v>
      </c>
      <c r="H931" s="14">
        <v>46178</v>
      </c>
      <c r="I931">
        <v>142</v>
      </c>
      <c r="J931" s="15">
        <v>1229</v>
      </c>
      <c r="K931" s="16">
        <f t="shared" si="28"/>
        <v>1.2277722277722278</v>
      </c>
      <c r="L931" s="15">
        <v>905</v>
      </c>
      <c r="M931" s="16">
        <f t="shared" si="29"/>
        <v>0.90409590409590412</v>
      </c>
      <c r="N931" t="s">
        <v>418</v>
      </c>
    </row>
    <row r="932" spans="1:14" x14ac:dyDescent="0.25">
      <c r="A932" t="s">
        <v>465</v>
      </c>
      <c r="B932" t="s">
        <v>822</v>
      </c>
      <c r="C932" t="s">
        <v>1430</v>
      </c>
      <c r="D932">
        <v>2</v>
      </c>
      <c r="E932">
        <v>1</v>
      </c>
      <c r="F932">
        <v>912</v>
      </c>
      <c r="G932" s="14">
        <v>46174</v>
      </c>
      <c r="H932" s="14">
        <v>46178</v>
      </c>
      <c r="I932">
        <v>5</v>
      </c>
      <c r="J932" s="15">
        <v>1196</v>
      </c>
      <c r="K932" s="16">
        <f t="shared" si="28"/>
        <v>1.3114035087719298</v>
      </c>
      <c r="L932" s="15">
        <v>1196</v>
      </c>
      <c r="M932" s="16">
        <f t="shared" si="29"/>
        <v>1.3114035087719298</v>
      </c>
      <c r="N932" t="s">
        <v>418</v>
      </c>
    </row>
    <row r="933" spans="1:14" x14ac:dyDescent="0.25">
      <c r="A933" t="s">
        <v>465</v>
      </c>
      <c r="B933" t="s">
        <v>860</v>
      </c>
      <c r="C933" t="s">
        <v>1431</v>
      </c>
      <c r="D933">
        <v>2</v>
      </c>
      <c r="E933">
        <v>2</v>
      </c>
      <c r="F933">
        <v>1081</v>
      </c>
      <c r="G933" s="14">
        <v>46057</v>
      </c>
      <c r="H933" s="14">
        <v>46178</v>
      </c>
      <c r="I933">
        <v>122</v>
      </c>
      <c r="J933" s="15">
        <v>1390</v>
      </c>
      <c r="K933" s="16">
        <f t="shared" si="28"/>
        <v>1.2858464384828863</v>
      </c>
      <c r="L933" s="15">
        <v>962</v>
      </c>
      <c r="M933" s="16">
        <f t="shared" si="29"/>
        <v>0.88991674375578167</v>
      </c>
      <c r="N933" t="s">
        <v>418</v>
      </c>
    </row>
    <row r="934" spans="1:14" x14ac:dyDescent="0.25">
      <c r="A934" t="s">
        <v>451</v>
      </c>
      <c r="B934" t="s">
        <v>460</v>
      </c>
      <c r="C934" t="s">
        <v>1432</v>
      </c>
      <c r="D934">
        <v>1</v>
      </c>
      <c r="E934">
        <v>1</v>
      </c>
      <c r="F934">
        <v>726</v>
      </c>
      <c r="G934" s="14">
        <v>46140</v>
      </c>
      <c r="H934" s="14">
        <v>46181</v>
      </c>
      <c r="I934">
        <v>42</v>
      </c>
      <c r="J934" s="15">
        <v>1200</v>
      </c>
      <c r="K934" s="16">
        <f t="shared" si="28"/>
        <v>1.6528925619834711</v>
      </c>
      <c r="L934" s="15">
        <v>1100</v>
      </c>
      <c r="M934" s="16">
        <f t="shared" si="29"/>
        <v>1.5151515151515151</v>
      </c>
      <c r="N934" t="s">
        <v>418</v>
      </c>
    </row>
    <row r="935" spans="1:14" x14ac:dyDescent="0.25">
      <c r="A935" t="s">
        <v>462</v>
      </c>
      <c r="B935" t="s">
        <v>475</v>
      </c>
      <c r="C935" t="s">
        <v>1089</v>
      </c>
      <c r="D935">
        <v>2</v>
      </c>
      <c r="E935">
        <v>2</v>
      </c>
      <c r="F935">
        <v>1029</v>
      </c>
      <c r="G935" s="14">
        <v>46084</v>
      </c>
      <c r="H935" s="14">
        <v>46181</v>
      </c>
      <c r="I935">
        <v>98</v>
      </c>
      <c r="J935" s="15">
        <v>1600</v>
      </c>
      <c r="K935" s="16">
        <f t="shared" si="28"/>
        <v>1.554907677356657</v>
      </c>
      <c r="L935" s="15">
        <v>1200</v>
      </c>
      <c r="M935" s="16">
        <f t="shared" si="29"/>
        <v>1.1661807580174928</v>
      </c>
      <c r="N935" t="s">
        <v>418</v>
      </c>
    </row>
    <row r="936" spans="1:14" x14ac:dyDescent="0.25">
      <c r="A936" t="s">
        <v>457</v>
      </c>
      <c r="B936" t="s">
        <v>525</v>
      </c>
      <c r="C936" t="s">
        <v>1433</v>
      </c>
      <c r="D936">
        <v>2</v>
      </c>
      <c r="E936">
        <v>2</v>
      </c>
      <c r="F936">
        <v>1001</v>
      </c>
      <c r="G936" s="14">
        <v>46058</v>
      </c>
      <c r="H936" s="14">
        <v>46181</v>
      </c>
      <c r="I936">
        <v>124</v>
      </c>
      <c r="J936" s="15">
        <v>1229</v>
      </c>
      <c r="K936" s="16">
        <f t="shared" si="28"/>
        <v>1.2277722277722278</v>
      </c>
      <c r="L936" s="15">
        <v>851</v>
      </c>
      <c r="M936" s="16">
        <f t="shared" si="29"/>
        <v>0.85014985014985012</v>
      </c>
      <c r="N936" t="s">
        <v>418</v>
      </c>
    </row>
    <row r="937" spans="1:14" x14ac:dyDescent="0.25">
      <c r="A937" t="s">
        <v>457</v>
      </c>
      <c r="B937" t="s">
        <v>525</v>
      </c>
      <c r="C937" t="s">
        <v>1434</v>
      </c>
      <c r="D937">
        <v>2</v>
      </c>
      <c r="E937">
        <v>2</v>
      </c>
      <c r="F937">
        <v>1001</v>
      </c>
      <c r="G937" s="14">
        <v>46121</v>
      </c>
      <c r="H937" s="14">
        <v>46181</v>
      </c>
      <c r="I937">
        <v>61</v>
      </c>
      <c r="J937" s="15">
        <v>1229</v>
      </c>
      <c r="K937" s="16">
        <f t="shared" si="28"/>
        <v>1.2277722277722278</v>
      </c>
      <c r="L937" s="15">
        <v>880</v>
      </c>
      <c r="M937" s="16">
        <f t="shared" si="29"/>
        <v>0.87912087912087911</v>
      </c>
      <c r="N937" t="s">
        <v>418</v>
      </c>
    </row>
    <row r="938" spans="1:14" x14ac:dyDescent="0.25">
      <c r="A938" t="s">
        <v>465</v>
      </c>
      <c r="B938" t="s">
        <v>984</v>
      </c>
      <c r="C938" t="s">
        <v>1435</v>
      </c>
      <c r="D938">
        <v>1</v>
      </c>
      <c r="E938">
        <v>1</v>
      </c>
      <c r="F938">
        <v>532</v>
      </c>
      <c r="G938" s="14">
        <v>46176</v>
      </c>
      <c r="H938" s="14">
        <v>46181</v>
      </c>
      <c r="I938">
        <v>6</v>
      </c>
      <c r="J938" s="15">
        <v>1061</v>
      </c>
      <c r="K938" s="16">
        <f t="shared" si="28"/>
        <v>1.994360902255639</v>
      </c>
      <c r="L938" s="15">
        <v>1061</v>
      </c>
      <c r="M938" s="16">
        <f t="shared" si="29"/>
        <v>1.994360902255639</v>
      </c>
      <c r="N938" t="s">
        <v>418</v>
      </c>
    </row>
    <row r="939" spans="1:14" x14ac:dyDescent="0.25">
      <c r="A939" t="s">
        <v>465</v>
      </c>
      <c r="B939" t="s">
        <v>860</v>
      </c>
      <c r="C939" t="s">
        <v>1436</v>
      </c>
      <c r="D939">
        <v>2</v>
      </c>
      <c r="E939">
        <v>2</v>
      </c>
      <c r="F939">
        <v>1081</v>
      </c>
      <c r="G939" s="14">
        <v>46177</v>
      </c>
      <c r="H939" s="14">
        <v>46181</v>
      </c>
      <c r="I939">
        <v>5</v>
      </c>
      <c r="J939" s="15">
        <v>1390</v>
      </c>
      <c r="K939" s="16">
        <f t="shared" si="28"/>
        <v>1.2858464384828863</v>
      </c>
      <c r="L939" s="15">
        <v>1390</v>
      </c>
      <c r="M939" s="16">
        <f t="shared" si="29"/>
        <v>1.2858464384828863</v>
      </c>
      <c r="N939" t="s">
        <v>418</v>
      </c>
    </row>
    <row r="940" spans="1:14" x14ac:dyDescent="0.25">
      <c r="A940" t="s">
        <v>477</v>
      </c>
      <c r="B940" t="s">
        <v>478</v>
      </c>
      <c r="C940" t="s">
        <v>1437</v>
      </c>
      <c r="D940">
        <v>1</v>
      </c>
      <c r="E940">
        <v>1</v>
      </c>
      <c r="F940">
        <v>771</v>
      </c>
      <c r="G940" s="14">
        <v>46158</v>
      </c>
      <c r="H940" s="14">
        <v>46182</v>
      </c>
      <c r="I940">
        <v>25</v>
      </c>
      <c r="J940" s="15">
        <v>1145</v>
      </c>
      <c r="K940" s="16">
        <f t="shared" si="28"/>
        <v>1.4850843060959793</v>
      </c>
      <c r="L940" s="15">
        <v>1145</v>
      </c>
      <c r="M940" s="16">
        <f t="shared" si="29"/>
        <v>1.4850843060959793</v>
      </c>
      <c r="N940" t="s">
        <v>418</v>
      </c>
    </row>
    <row r="941" spans="1:14" x14ac:dyDescent="0.25">
      <c r="A941" t="s">
        <v>457</v>
      </c>
      <c r="B941" t="s">
        <v>1037</v>
      </c>
      <c r="C941" t="s">
        <v>1438</v>
      </c>
      <c r="D941">
        <v>1</v>
      </c>
      <c r="E941">
        <v>1</v>
      </c>
      <c r="F941">
        <v>541</v>
      </c>
      <c r="G941" s="14">
        <v>46086</v>
      </c>
      <c r="H941" s="14">
        <v>46182</v>
      </c>
      <c r="I941">
        <v>97</v>
      </c>
      <c r="J941" s="15">
        <v>1128</v>
      </c>
      <c r="K941" s="16">
        <f t="shared" si="28"/>
        <v>2.0850277264325325</v>
      </c>
      <c r="L941" s="15">
        <v>781</v>
      </c>
      <c r="M941" s="16">
        <f t="shared" si="29"/>
        <v>1.4436229205175601</v>
      </c>
      <c r="N941" t="s">
        <v>418</v>
      </c>
    </row>
    <row r="942" spans="1:14" x14ac:dyDescent="0.25">
      <c r="A942" t="s">
        <v>462</v>
      </c>
      <c r="B942" t="s">
        <v>470</v>
      </c>
      <c r="C942" t="s">
        <v>1439</v>
      </c>
      <c r="D942">
        <v>1</v>
      </c>
      <c r="E942">
        <v>1</v>
      </c>
      <c r="F942">
        <v>732</v>
      </c>
      <c r="G942" s="14">
        <v>46180</v>
      </c>
      <c r="H942" s="14">
        <v>46183</v>
      </c>
      <c r="I942">
        <v>4</v>
      </c>
      <c r="J942" s="15">
        <v>1500</v>
      </c>
      <c r="K942" s="16">
        <f t="shared" si="28"/>
        <v>2.0491803278688523</v>
      </c>
      <c r="L942" s="15">
        <v>1125</v>
      </c>
      <c r="M942" s="16">
        <f t="shared" si="29"/>
        <v>1.5368852459016393</v>
      </c>
      <c r="N942" t="s">
        <v>418</v>
      </c>
    </row>
    <row r="943" spans="1:14" x14ac:dyDescent="0.25">
      <c r="A943" t="s">
        <v>462</v>
      </c>
      <c r="B943" t="s">
        <v>475</v>
      </c>
      <c r="C943" t="s">
        <v>1440</v>
      </c>
      <c r="D943">
        <v>2</v>
      </c>
      <c r="E943">
        <v>2</v>
      </c>
      <c r="F943">
        <v>1029</v>
      </c>
      <c r="G943" s="14">
        <v>46126</v>
      </c>
      <c r="H943" s="14">
        <v>46183</v>
      </c>
      <c r="I943">
        <v>58</v>
      </c>
      <c r="J943" s="15">
        <v>1650</v>
      </c>
      <c r="K943" s="16">
        <f t="shared" si="28"/>
        <v>1.6034985422740524</v>
      </c>
      <c r="L943" s="15">
        <v>1238</v>
      </c>
      <c r="M943" s="16">
        <f t="shared" si="29"/>
        <v>1.2031098153547133</v>
      </c>
      <c r="N943" t="s">
        <v>418</v>
      </c>
    </row>
    <row r="944" spans="1:14" x14ac:dyDescent="0.25">
      <c r="A944" t="s">
        <v>462</v>
      </c>
      <c r="B944" t="s">
        <v>507</v>
      </c>
      <c r="C944" t="s">
        <v>1002</v>
      </c>
      <c r="D944">
        <v>3</v>
      </c>
      <c r="E944">
        <v>2</v>
      </c>
      <c r="F944">
        <v>1345</v>
      </c>
      <c r="G944" s="14">
        <v>45889</v>
      </c>
      <c r="H944" s="14">
        <v>46183</v>
      </c>
      <c r="I944">
        <v>295</v>
      </c>
      <c r="J944" s="15">
        <v>2150</v>
      </c>
      <c r="K944" s="16">
        <f t="shared" si="28"/>
        <v>1.5985130111524164</v>
      </c>
      <c r="L944" s="15">
        <v>1612</v>
      </c>
      <c r="M944" s="16">
        <f t="shared" si="29"/>
        <v>1.1985130111524163</v>
      </c>
      <c r="N944" t="s">
        <v>418</v>
      </c>
    </row>
    <row r="945" spans="1:14" x14ac:dyDescent="0.25">
      <c r="A945" t="s">
        <v>465</v>
      </c>
      <c r="B945" t="s">
        <v>551</v>
      </c>
      <c r="C945" t="s">
        <v>1441</v>
      </c>
      <c r="D945">
        <v>1</v>
      </c>
      <c r="E945">
        <v>1</v>
      </c>
      <c r="F945">
        <v>757</v>
      </c>
      <c r="G945" s="14">
        <v>46159</v>
      </c>
      <c r="H945" s="14">
        <v>46183</v>
      </c>
      <c r="I945">
        <v>25</v>
      </c>
      <c r="J945" s="15">
        <v>1231</v>
      </c>
      <c r="K945" s="16">
        <f t="shared" si="28"/>
        <v>1.6261558784676353</v>
      </c>
      <c r="L945" s="15">
        <v>852</v>
      </c>
      <c r="M945" s="16">
        <f t="shared" si="29"/>
        <v>1.1254953764861295</v>
      </c>
      <c r="N945" t="s">
        <v>418</v>
      </c>
    </row>
    <row r="946" spans="1:14" x14ac:dyDescent="0.25">
      <c r="A946" t="s">
        <v>465</v>
      </c>
      <c r="B946" t="s">
        <v>1315</v>
      </c>
      <c r="C946" t="s">
        <v>1442</v>
      </c>
      <c r="D946">
        <v>3</v>
      </c>
      <c r="E946">
        <v>2</v>
      </c>
      <c r="F946">
        <v>1181</v>
      </c>
      <c r="G946" s="14">
        <v>46172</v>
      </c>
      <c r="H946" s="14">
        <v>46183</v>
      </c>
      <c r="I946">
        <v>12</v>
      </c>
      <c r="J946" s="15">
        <v>1689</v>
      </c>
      <c r="K946" s="16">
        <f t="shared" si="28"/>
        <v>1.4301439458086367</v>
      </c>
      <c r="L946" s="15">
        <v>1689</v>
      </c>
      <c r="M946" s="16">
        <f t="shared" si="29"/>
        <v>1.4301439458086367</v>
      </c>
      <c r="N946" t="s">
        <v>418</v>
      </c>
    </row>
    <row r="947" spans="1:14" x14ac:dyDescent="0.25">
      <c r="A947" t="s">
        <v>465</v>
      </c>
      <c r="B947" t="s">
        <v>781</v>
      </c>
      <c r="C947" t="s">
        <v>1443</v>
      </c>
      <c r="D947">
        <v>3</v>
      </c>
      <c r="E947">
        <v>2</v>
      </c>
      <c r="F947">
        <v>1181</v>
      </c>
      <c r="G947" s="14">
        <v>46084</v>
      </c>
      <c r="H947" s="14">
        <v>46183</v>
      </c>
      <c r="I947">
        <v>100</v>
      </c>
      <c r="J947" s="15">
        <v>1789</v>
      </c>
      <c r="K947" s="16">
        <f t="shared" si="28"/>
        <v>1.5148179508890771</v>
      </c>
      <c r="L947" s="15">
        <v>1238</v>
      </c>
      <c r="M947" s="16">
        <f t="shared" si="29"/>
        <v>1.048264182895851</v>
      </c>
      <c r="N947" t="s">
        <v>418</v>
      </c>
    </row>
    <row r="948" spans="1:14" x14ac:dyDescent="0.25">
      <c r="A948" t="s">
        <v>451</v>
      </c>
      <c r="B948" t="s">
        <v>452</v>
      </c>
      <c r="C948" t="s">
        <v>1444</v>
      </c>
      <c r="D948">
        <v>2</v>
      </c>
      <c r="E948">
        <v>2</v>
      </c>
      <c r="F948">
        <v>903</v>
      </c>
      <c r="G948" s="14">
        <v>46172</v>
      </c>
      <c r="H948" s="14">
        <v>46184</v>
      </c>
      <c r="I948">
        <v>13</v>
      </c>
      <c r="J948" s="15">
        <v>1400</v>
      </c>
      <c r="K948" s="16">
        <f t="shared" si="28"/>
        <v>1.5503875968992249</v>
      </c>
      <c r="L948" s="15">
        <v>1283</v>
      </c>
      <c r="M948" s="16">
        <f t="shared" si="29"/>
        <v>1.4208194905869325</v>
      </c>
      <c r="N948" t="s">
        <v>418</v>
      </c>
    </row>
    <row r="949" spans="1:14" x14ac:dyDescent="0.25">
      <c r="A949" t="s">
        <v>457</v>
      </c>
      <c r="B949" t="s">
        <v>1081</v>
      </c>
      <c r="C949" t="s">
        <v>1445</v>
      </c>
      <c r="D949">
        <v>1</v>
      </c>
      <c r="E949">
        <v>1</v>
      </c>
      <c r="F949">
        <v>541</v>
      </c>
      <c r="G949" s="14">
        <v>46174</v>
      </c>
      <c r="H949" s="14">
        <v>46184</v>
      </c>
      <c r="I949">
        <v>11</v>
      </c>
      <c r="J949" s="15">
        <v>1063</v>
      </c>
      <c r="K949" s="16">
        <f t="shared" si="28"/>
        <v>1.9648798521256932</v>
      </c>
      <c r="L949" s="15">
        <v>736</v>
      </c>
      <c r="M949" s="16">
        <f t="shared" si="29"/>
        <v>1.3604436229205175</v>
      </c>
      <c r="N949" t="s">
        <v>418</v>
      </c>
    </row>
    <row r="950" spans="1:14" x14ac:dyDescent="0.25">
      <c r="A950" t="s">
        <v>457</v>
      </c>
      <c r="B950" t="s">
        <v>778</v>
      </c>
      <c r="C950" t="s">
        <v>1446</v>
      </c>
      <c r="D950">
        <v>1</v>
      </c>
      <c r="E950">
        <v>1</v>
      </c>
      <c r="F950">
        <v>762</v>
      </c>
      <c r="G950" s="14">
        <v>46108</v>
      </c>
      <c r="H950" s="14">
        <v>46184</v>
      </c>
      <c r="I950">
        <v>77</v>
      </c>
      <c r="J950" s="15">
        <v>1198</v>
      </c>
      <c r="K950" s="16">
        <f t="shared" si="28"/>
        <v>1.5721784776902887</v>
      </c>
      <c r="L950" s="15">
        <v>829</v>
      </c>
      <c r="M950" s="16">
        <f t="shared" si="29"/>
        <v>1.0879265091863517</v>
      </c>
      <c r="N950" t="s">
        <v>418</v>
      </c>
    </row>
    <row r="951" spans="1:14" x14ac:dyDescent="0.25">
      <c r="A951" t="s">
        <v>457</v>
      </c>
      <c r="B951" t="s">
        <v>778</v>
      </c>
      <c r="C951" t="s">
        <v>1447</v>
      </c>
      <c r="D951">
        <v>1</v>
      </c>
      <c r="E951">
        <v>1</v>
      </c>
      <c r="F951">
        <v>762</v>
      </c>
      <c r="G951" s="14">
        <v>46171</v>
      </c>
      <c r="H951" s="14">
        <v>46184</v>
      </c>
      <c r="I951">
        <v>14</v>
      </c>
      <c r="J951" s="15">
        <v>1198</v>
      </c>
      <c r="K951" s="16">
        <f t="shared" si="28"/>
        <v>1.5721784776902887</v>
      </c>
      <c r="L951" s="15">
        <v>1198</v>
      </c>
      <c r="M951" s="16">
        <f t="shared" si="29"/>
        <v>1.5721784776902887</v>
      </c>
      <c r="N951" t="s">
        <v>418</v>
      </c>
    </row>
    <row r="952" spans="1:14" x14ac:dyDescent="0.25">
      <c r="A952" t="s">
        <v>457</v>
      </c>
      <c r="B952" t="s">
        <v>562</v>
      </c>
      <c r="C952" t="s">
        <v>1448</v>
      </c>
      <c r="D952">
        <v>2</v>
      </c>
      <c r="E952">
        <v>2</v>
      </c>
      <c r="F952">
        <v>1001</v>
      </c>
      <c r="G952" s="14">
        <v>46158</v>
      </c>
      <c r="H952" s="14">
        <v>46184</v>
      </c>
      <c r="I952">
        <v>27</v>
      </c>
      <c r="J952" s="15">
        <v>1187</v>
      </c>
      <c r="K952" s="16">
        <f t="shared" si="28"/>
        <v>1.1858141858141857</v>
      </c>
      <c r="L952" s="15">
        <v>1187</v>
      </c>
      <c r="M952" s="16">
        <f t="shared" si="29"/>
        <v>1.1858141858141857</v>
      </c>
      <c r="N952" t="s">
        <v>418</v>
      </c>
    </row>
    <row r="953" spans="1:14" x14ac:dyDescent="0.25">
      <c r="A953" t="s">
        <v>465</v>
      </c>
      <c r="B953" t="s">
        <v>502</v>
      </c>
      <c r="C953" t="s">
        <v>1449</v>
      </c>
      <c r="D953">
        <v>2</v>
      </c>
      <c r="E953">
        <v>2</v>
      </c>
      <c r="F953">
        <v>1011</v>
      </c>
      <c r="G953" s="14">
        <v>46078</v>
      </c>
      <c r="H953" s="14">
        <v>46184</v>
      </c>
      <c r="I953">
        <v>107</v>
      </c>
      <c r="J953" s="15">
        <v>1430</v>
      </c>
      <c r="K953" s="16">
        <f t="shared" si="28"/>
        <v>1.4144411473788328</v>
      </c>
      <c r="L953" s="15">
        <v>990</v>
      </c>
      <c r="M953" s="16">
        <f t="shared" si="29"/>
        <v>0.97922848664688422</v>
      </c>
      <c r="N953" t="s">
        <v>418</v>
      </c>
    </row>
    <row r="954" spans="1:14" x14ac:dyDescent="0.25">
      <c r="A954" t="s">
        <v>465</v>
      </c>
      <c r="B954" t="s">
        <v>601</v>
      </c>
      <c r="C954" t="s">
        <v>1450</v>
      </c>
      <c r="D954">
        <v>2</v>
      </c>
      <c r="E954">
        <v>2</v>
      </c>
      <c r="F954">
        <v>1081</v>
      </c>
      <c r="G954" s="14">
        <v>46120</v>
      </c>
      <c r="H954" s="14">
        <v>46184</v>
      </c>
      <c r="I954">
        <v>65</v>
      </c>
      <c r="J954" s="15">
        <v>1490</v>
      </c>
      <c r="K954" s="16">
        <f t="shared" si="28"/>
        <v>1.3783533765032376</v>
      </c>
      <c r="L954" s="15">
        <v>1490</v>
      </c>
      <c r="M954" s="16">
        <f t="shared" si="29"/>
        <v>1.3783533765032376</v>
      </c>
      <c r="N954" t="s">
        <v>418</v>
      </c>
    </row>
    <row r="955" spans="1:14" x14ac:dyDescent="0.25">
      <c r="A955" t="s">
        <v>477</v>
      </c>
      <c r="B955" t="s">
        <v>478</v>
      </c>
      <c r="C955" t="s">
        <v>1451</v>
      </c>
      <c r="D955">
        <v>1</v>
      </c>
      <c r="E955">
        <v>1</v>
      </c>
      <c r="F955">
        <v>771</v>
      </c>
      <c r="G955" s="14">
        <v>46183</v>
      </c>
      <c r="H955" s="14">
        <v>46185</v>
      </c>
      <c r="I955">
        <v>3</v>
      </c>
      <c r="J955" s="15">
        <v>1145</v>
      </c>
      <c r="K955" s="16">
        <f t="shared" si="28"/>
        <v>1.4850843060959793</v>
      </c>
      <c r="L955" s="15">
        <v>1145</v>
      </c>
      <c r="M955" s="16">
        <f t="shared" si="29"/>
        <v>1.4850843060959793</v>
      </c>
      <c r="N955" t="s">
        <v>418</v>
      </c>
    </row>
    <row r="956" spans="1:14" x14ac:dyDescent="0.25">
      <c r="A956" t="s">
        <v>477</v>
      </c>
      <c r="B956" t="s">
        <v>609</v>
      </c>
      <c r="C956" t="s">
        <v>1452</v>
      </c>
      <c r="D956">
        <v>2</v>
      </c>
      <c r="E956">
        <v>2</v>
      </c>
      <c r="F956">
        <v>1050</v>
      </c>
      <c r="G956" s="14">
        <v>46065</v>
      </c>
      <c r="H956" s="14">
        <v>46185</v>
      </c>
      <c r="I956">
        <v>121</v>
      </c>
      <c r="J956" s="15">
        <v>1427</v>
      </c>
      <c r="K956" s="16">
        <f t="shared" si="28"/>
        <v>1.3590476190476191</v>
      </c>
      <c r="L956" s="15">
        <v>1427</v>
      </c>
      <c r="M956" s="16">
        <f t="shared" si="29"/>
        <v>1.3590476190476191</v>
      </c>
      <c r="N956" t="s">
        <v>418</v>
      </c>
    </row>
    <row r="957" spans="1:14" x14ac:dyDescent="0.25">
      <c r="A957" t="s">
        <v>477</v>
      </c>
      <c r="B957" t="s">
        <v>609</v>
      </c>
      <c r="C957" t="s">
        <v>1453</v>
      </c>
      <c r="D957">
        <v>2</v>
      </c>
      <c r="E957">
        <v>2</v>
      </c>
      <c r="F957">
        <v>1050</v>
      </c>
      <c r="G957" s="14">
        <v>46079</v>
      </c>
      <c r="H957" s="14">
        <v>46185</v>
      </c>
      <c r="I957">
        <v>107</v>
      </c>
      <c r="J957" s="15">
        <v>1427</v>
      </c>
      <c r="K957" s="16">
        <f t="shared" si="28"/>
        <v>1.3590476190476191</v>
      </c>
      <c r="L957" s="15">
        <v>1427</v>
      </c>
      <c r="M957" s="16">
        <f t="shared" si="29"/>
        <v>1.3590476190476191</v>
      </c>
      <c r="N957" t="s">
        <v>418</v>
      </c>
    </row>
    <row r="958" spans="1:14" x14ac:dyDescent="0.25">
      <c r="A958" t="s">
        <v>465</v>
      </c>
      <c r="B958" t="s">
        <v>551</v>
      </c>
      <c r="C958" t="s">
        <v>1454</v>
      </c>
      <c r="D958">
        <v>1</v>
      </c>
      <c r="E958">
        <v>1</v>
      </c>
      <c r="F958">
        <v>757</v>
      </c>
      <c r="G958" s="14">
        <v>46092</v>
      </c>
      <c r="H958" s="14">
        <v>46185</v>
      </c>
      <c r="I958">
        <v>94</v>
      </c>
      <c r="J958" s="15">
        <v>1240</v>
      </c>
      <c r="K958" s="16">
        <f t="shared" si="28"/>
        <v>1.6380449141347424</v>
      </c>
      <c r="L958" s="15">
        <v>935</v>
      </c>
      <c r="M958" s="16">
        <f t="shared" si="29"/>
        <v>1.2351387054161163</v>
      </c>
      <c r="N958" t="s">
        <v>418</v>
      </c>
    </row>
    <row r="959" spans="1:14" x14ac:dyDescent="0.25">
      <c r="A959" t="s">
        <v>465</v>
      </c>
      <c r="B959" t="s">
        <v>500</v>
      </c>
      <c r="C959" t="s">
        <v>1455</v>
      </c>
      <c r="D959">
        <v>2</v>
      </c>
      <c r="E959">
        <v>1</v>
      </c>
      <c r="F959">
        <v>912</v>
      </c>
      <c r="G959" s="14">
        <v>46071</v>
      </c>
      <c r="H959" s="14">
        <v>46185</v>
      </c>
      <c r="I959">
        <v>115</v>
      </c>
      <c r="J959" s="15">
        <v>1336</v>
      </c>
      <c r="K959" s="16">
        <f t="shared" si="28"/>
        <v>1.4649122807017543</v>
      </c>
      <c r="L959" s="15">
        <v>925</v>
      </c>
      <c r="M959" s="16">
        <f t="shared" si="29"/>
        <v>1.0142543859649122</v>
      </c>
      <c r="N959" t="s">
        <v>418</v>
      </c>
    </row>
    <row r="960" spans="1:14" x14ac:dyDescent="0.25">
      <c r="A960" t="s">
        <v>465</v>
      </c>
      <c r="B960" t="s">
        <v>502</v>
      </c>
      <c r="C960" t="s">
        <v>1456</v>
      </c>
      <c r="D960">
        <v>2</v>
      </c>
      <c r="E960">
        <v>2</v>
      </c>
      <c r="F960">
        <v>1011</v>
      </c>
      <c r="G960" s="14">
        <v>46083</v>
      </c>
      <c r="H960" s="14">
        <v>46185</v>
      </c>
      <c r="I960">
        <v>103</v>
      </c>
      <c r="J960" s="15">
        <v>1450</v>
      </c>
      <c r="K960" s="16">
        <f t="shared" si="28"/>
        <v>1.4342235410484669</v>
      </c>
      <c r="L960" s="15">
        <v>1450</v>
      </c>
      <c r="M960" s="16">
        <f t="shared" si="29"/>
        <v>1.4342235410484669</v>
      </c>
      <c r="N960" t="s">
        <v>418</v>
      </c>
    </row>
    <row r="961" spans="1:14" x14ac:dyDescent="0.25">
      <c r="A961" t="s">
        <v>454</v>
      </c>
      <c r="B961" t="s">
        <v>481</v>
      </c>
      <c r="C961" t="s">
        <v>1457</v>
      </c>
      <c r="D961">
        <v>2</v>
      </c>
      <c r="E961">
        <v>2</v>
      </c>
      <c r="F961">
        <v>1001</v>
      </c>
      <c r="G961" s="14">
        <v>46156</v>
      </c>
      <c r="H961" s="14">
        <v>46186</v>
      </c>
      <c r="I961">
        <v>31</v>
      </c>
      <c r="J961" s="15">
        <v>1350</v>
      </c>
      <c r="K961" s="16">
        <f t="shared" si="28"/>
        <v>1.3486513486513487</v>
      </c>
      <c r="L961" s="15">
        <v>1350</v>
      </c>
      <c r="M961" s="16">
        <f t="shared" si="29"/>
        <v>1.3486513486513487</v>
      </c>
      <c r="N961" t="s">
        <v>418</v>
      </c>
    </row>
    <row r="962" spans="1:14" x14ac:dyDescent="0.25">
      <c r="A962" t="s">
        <v>457</v>
      </c>
      <c r="B962" t="s">
        <v>778</v>
      </c>
      <c r="C962" t="s">
        <v>1458</v>
      </c>
      <c r="D962">
        <v>1</v>
      </c>
      <c r="E962">
        <v>1</v>
      </c>
      <c r="F962">
        <v>762</v>
      </c>
      <c r="G962" s="14">
        <v>45822</v>
      </c>
      <c r="H962" s="14">
        <v>46187</v>
      </c>
      <c r="I962">
        <v>366</v>
      </c>
      <c r="J962" s="15">
        <v>1198</v>
      </c>
      <c r="K962" s="16">
        <f t="shared" ref="K962:K1025" si="30">IFERROR(J962/F962,0)</f>
        <v>1.5721784776902887</v>
      </c>
      <c r="L962" s="15">
        <v>829</v>
      </c>
      <c r="M962" s="16">
        <f t="shared" ref="M962:M1025" si="31">IFERROR(L962/F962,0)</f>
        <v>1.0879265091863517</v>
      </c>
      <c r="N962" t="s">
        <v>418</v>
      </c>
    </row>
    <row r="963" spans="1:14" x14ac:dyDescent="0.25">
      <c r="A963" t="s">
        <v>472</v>
      </c>
      <c r="B963" t="s">
        <v>496</v>
      </c>
      <c r="C963" t="s">
        <v>1459</v>
      </c>
      <c r="D963">
        <v>1</v>
      </c>
      <c r="E963">
        <v>1</v>
      </c>
      <c r="F963">
        <v>625</v>
      </c>
      <c r="G963" s="14">
        <v>46172</v>
      </c>
      <c r="H963" s="14">
        <v>46188</v>
      </c>
      <c r="I963">
        <v>17</v>
      </c>
      <c r="J963" s="15">
        <v>1198</v>
      </c>
      <c r="K963" s="16">
        <f t="shared" si="30"/>
        <v>1.9168000000000001</v>
      </c>
      <c r="L963" s="15">
        <v>980</v>
      </c>
      <c r="M963" s="16">
        <f t="shared" si="31"/>
        <v>1.5680000000000001</v>
      </c>
      <c r="N963" t="s">
        <v>418</v>
      </c>
    </row>
    <row r="964" spans="1:14" x14ac:dyDescent="0.25">
      <c r="A964" t="s">
        <v>457</v>
      </c>
      <c r="B964" t="s">
        <v>1037</v>
      </c>
      <c r="C964" t="s">
        <v>1460</v>
      </c>
      <c r="D964">
        <v>1</v>
      </c>
      <c r="E964">
        <v>1</v>
      </c>
      <c r="F964">
        <v>541</v>
      </c>
      <c r="G964" s="14">
        <v>46079</v>
      </c>
      <c r="H964" s="14">
        <v>46188</v>
      </c>
      <c r="I964">
        <v>110</v>
      </c>
      <c r="J964" s="15">
        <v>1128</v>
      </c>
      <c r="K964" s="16">
        <f t="shared" si="30"/>
        <v>2.0850277264325325</v>
      </c>
      <c r="L964" s="15">
        <v>781</v>
      </c>
      <c r="M964" s="16">
        <f t="shared" si="31"/>
        <v>1.4436229205175601</v>
      </c>
      <c r="N964" t="s">
        <v>418</v>
      </c>
    </row>
    <row r="965" spans="1:14" x14ac:dyDescent="0.25">
      <c r="A965" t="s">
        <v>477</v>
      </c>
      <c r="B965" t="s">
        <v>609</v>
      </c>
      <c r="C965" t="s">
        <v>1461</v>
      </c>
      <c r="D965">
        <v>2</v>
      </c>
      <c r="E965">
        <v>2</v>
      </c>
      <c r="F965">
        <v>1050</v>
      </c>
      <c r="G965" s="14">
        <v>45996</v>
      </c>
      <c r="H965" s="14">
        <v>46189</v>
      </c>
      <c r="I965">
        <v>194</v>
      </c>
      <c r="J965" s="15">
        <v>1427</v>
      </c>
      <c r="K965" s="16">
        <f t="shared" si="30"/>
        <v>1.3590476190476191</v>
      </c>
      <c r="L965" s="15">
        <v>1427</v>
      </c>
      <c r="M965" s="16">
        <f t="shared" si="31"/>
        <v>1.3590476190476191</v>
      </c>
      <c r="N965" t="s">
        <v>418</v>
      </c>
    </row>
    <row r="966" spans="1:14" x14ac:dyDescent="0.25">
      <c r="A966" t="s">
        <v>486</v>
      </c>
      <c r="B966" t="s">
        <v>487</v>
      </c>
      <c r="C966" t="s">
        <v>1462</v>
      </c>
      <c r="D966">
        <v>2</v>
      </c>
      <c r="E966">
        <v>2</v>
      </c>
      <c r="F966">
        <v>1000</v>
      </c>
      <c r="G966" s="14">
        <v>46148</v>
      </c>
      <c r="H966" s="14">
        <v>46189</v>
      </c>
      <c r="I966">
        <v>42</v>
      </c>
      <c r="J966" s="15">
        <v>1346</v>
      </c>
      <c r="K966" s="16">
        <f t="shared" si="30"/>
        <v>1.3460000000000001</v>
      </c>
      <c r="L966" s="15">
        <v>1107</v>
      </c>
      <c r="M966" s="16">
        <f t="shared" si="31"/>
        <v>1.107</v>
      </c>
      <c r="N966" t="s">
        <v>418</v>
      </c>
    </row>
    <row r="967" spans="1:14" x14ac:dyDescent="0.25">
      <c r="A967" t="s">
        <v>465</v>
      </c>
      <c r="B967" t="s">
        <v>551</v>
      </c>
      <c r="C967" t="s">
        <v>1463</v>
      </c>
      <c r="D967">
        <v>1</v>
      </c>
      <c r="E967">
        <v>1</v>
      </c>
      <c r="F967">
        <v>757</v>
      </c>
      <c r="G967" s="14">
        <v>46111</v>
      </c>
      <c r="H967" s="14">
        <v>46189</v>
      </c>
      <c r="I967">
        <v>79</v>
      </c>
      <c r="J967" s="15">
        <v>1231</v>
      </c>
      <c r="K967" s="16">
        <f t="shared" si="30"/>
        <v>1.6261558784676353</v>
      </c>
      <c r="L967" s="15">
        <v>1231</v>
      </c>
      <c r="M967" s="16">
        <f t="shared" si="31"/>
        <v>1.6261558784676353</v>
      </c>
      <c r="N967" t="s">
        <v>418</v>
      </c>
    </row>
    <row r="968" spans="1:14" x14ac:dyDescent="0.25">
      <c r="A968" t="s">
        <v>465</v>
      </c>
      <c r="B968" t="s">
        <v>1315</v>
      </c>
      <c r="C968" t="s">
        <v>1464</v>
      </c>
      <c r="D968">
        <v>3</v>
      </c>
      <c r="E968">
        <v>2</v>
      </c>
      <c r="F968">
        <v>1181</v>
      </c>
      <c r="G968" s="14">
        <v>46147</v>
      </c>
      <c r="H968" s="14">
        <v>46189</v>
      </c>
      <c r="I968">
        <v>43</v>
      </c>
      <c r="J968" s="15">
        <v>1739</v>
      </c>
      <c r="K968" s="16">
        <f t="shared" si="30"/>
        <v>1.472480948348857</v>
      </c>
      <c r="L968" s="15">
        <v>1204</v>
      </c>
      <c r="M968" s="16">
        <f t="shared" si="31"/>
        <v>1.0194750211685013</v>
      </c>
      <c r="N968" t="s">
        <v>418</v>
      </c>
    </row>
    <row r="969" spans="1:14" x14ac:dyDescent="0.25">
      <c r="A969" t="s">
        <v>454</v>
      </c>
      <c r="B969" t="s">
        <v>494</v>
      </c>
      <c r="C969" t="s">
        <v>1465</v>
      </c>
      <c r="D969">
        <v>2</v>
      </c>
      <c r="E969">
        <v>2</v>
      </c>
      <c r="F969">
        <v>1001</v>
      </c>
      <c r="G969" s="14">
        <v>46176</v>
      </c>
      <c r="H969" s="14">
        <v>46190</v>
      </c>
      <c r="I969">
        <v>15</v>
      </c>
      <c r="J969" s="15">
        <v>1500</v>
      </c>
      <c r="K969" s="16">
        <f t="shared" si="30"/>
        <v>1.4985014985014986</v>
      </c>
      <c r="L969" s="15">
        <v>1500</v>
      </c>
      <c r="M969" s="16">
        <f t="shared" si="31"/>
        <v>1.4985014985014986</v>
      </c>
      <c r="N969" t="s">
        <v>418</v>
      </c>
    </row>
    <row r="970" spans="1:14" x14ac:dyDescent="0.25">
      <c r="A970" t="s">
        <v>486</v>
      </c>
      <c r="B970" t="s">
        <v>1466</v>
      </c>
      <c r="C970" t="s">
        <v>1467</v>
      </c>
      <c r="D970">
        <v>2</v>
      </c>
      <c r="E970">
        <v>1</v>
      </c>
      <c r="F970">
        <v>860</v>
      </c>
      <c r="G970" s="14">
        <v>46025</v>
      </c>
      <c r="H970" s="14">
        <v>46190</v>
      </c>
      <c r="I970">
        <v>166</v>
      </c>
      <c r="J970" s="15">
        <v>1482</v>
      </c>
      <c r="K970" s="16">
        <f t="shared" si="30"/>
        <v>1.7232558139534884</v>
      </c>
      <c r="L970" s="15">
        <v>1219</v>
      </c>
      <c r="M970" s="16">
        <f t="shared" si="31"/>
        <v>1.4174418604651162</v>
      </c>
      <c r="N970" t="s">
        <v>418</v>
      </c>
    </row>
    <row r="971" spans="1:14" x14ac:dyDescent="0.25">
      <c r="A971" t="s">
        <v>472</v>
      </c>
      <c r="B971" t="s">
        <v>676</v>
      </c>
      <c r="C971" t="s">
        <v>1468</v>
      </c>
      <c r="D971">
        <v>3</v>
      </c>
      <c r="E971">
        <v>2</v>
      </c>
      <c r="F971">
        <v>1000</v>
      </c>
      <c r="G971" s="14">
        <v>46176</v>
      </c>
      <c r="H971" s="14">
        <v>46191</v>
      </c>
      <c r="I971">
        <v>16</v>
      </c>
      <c r="J971" s="15">
        <v>1750</v>
      </c>
      <c r="K971" s="16">
        <f t="shared" si="30"/>
        <v>1.75</v>
      </c>
      <c r="L971" s="15">
        <v>1458</v>
      </c>
      <c r="M971" s="16">
        <f t="shared" si="31"/>
        <v>1.458</v>
      </c>
      <c r="N971" t="s">
        <v>418</v>
      </c>
    </row>
    <row r="972" spans="1:14" x14ac:dyDescent="0.25">
      <c r="A972" t="s">
        <v>486</v>
      </c>
      <c r="B972" t="s">
        <v>1469</v>
      </c>
      <c r="C972" t="s">
        <v>1470</v>
      </c>
      <c r="D972">
        <v>1</v>
      </c>
      <c r="E972">
        <v>1</v>
      </c>
      <c r="F972">
        <v>650</v>
      </c>
      <c r="G972" s="14">
        <v>46098</v>
      </c>
      <c r="H972" s="14">
        <v>46191</v>
      </c>
      <c r="I972">
        <v>94</v>
      </c>
      <c r="J972" s="15">
        <v>1256</v>
      </c>
      <c r="K972" s="16">
        <f t="shared" si="30"/>
        <v>1.9323076923076923</v>
      </c>
      <c r="L972" s="15">
        <v>1014</v>
      </c>
      <c r="M972" s="16">
        <f t="shared" si="31"/>
        <v>1.56</v>
      </c>
      <c r="N972" t="s">
        <v>418</v>
      </c>
    </row>
    <row r="973" spans="1:14" x14ac:dyDescent="0.25">
      <c r="A973" t="s">
        <v>457</v>
      </c>
      <c r="B973" t="s">
        <v>525</v>
      </c>
      <c r="C973" t="s">
        <v>1471</v>
      </c>
      <c r="D973">
        <v>2</v>
      </c>
      <c r="E973">
        <v>2</v>
      </c>
      <c r="F973">
        <v>1001</v>
      </c>
      <c r="G973" s="14">
        <v>46155</v>
      </c>
      <c r="H973" s="14">
        <v>46192</v>
      </c>
      <c r="I973">
        <v>38</v>
      </c>
      <c r="J973" s="15">
        <v>1248</v>
      </c>
      <c r="K973" s="16">
        <f t="shared" si="30"/>
        <v>1.2467532467532467</v>
      </c>
      <c r="L973" s="15">
        <v>1248</v>
      </c>
      <c r="M973" s="16">
        <f t="shared" si="31"/>
        <v>1.2467532467532467</v>
      </c>
      <c r="N973" t="s">
        <v>418</v>
      </c>
    </row>
    <row r="974" spans="1:14" x14ac:dyDescent="0.25">
      <c r="A974" t="s">
        <v>465</v>
      </c>
      <c r="B974" t="s">
        <v>623</v>
      </c>
      <c r="C974" t="s">
        <v>1472</v>
      </c>
      <c r="D974">
        <v>2</v>
      </c>
      <c r="E974">
        <v>1</v>
      </c>
      <c r="F974">
        <v>874</v>
      </c>
      <c r="G974" s="14">
        <v>46174</v>
      </c>
      <c r="H974" s="14">
        <v>46192</v>
      </c>
      <c r="I974">
        <v>19</v>
      </c>
      <c r="J974" s="15">
        <v>1160</v>
      </c>
      <c r="K974" s="16">
        <f t="shared" si="30"/>
        <v>1.3272311212814645</v>
      </c>
      <c r="L974" s="15">
        <v>1160</v>
      </c>
      <c r="M974" s="16">
        <f t="shared" si="31"/>
        <v>1.3272311212814645</v>
      </c>
      <c r="N974" t="s">
        <v>418</v>
      </c>
    </row>
    <row r="975" spans="1:14" x14ac:dyDescent="0.25">
      <c r="A975" t="s">
        <v>472</v>
      </c>
      <c r="B975" t="s">
        <v>496</v>
      </c>
      <c r="C975" t="s">
        <v>1473</v>
      </c>
      <c r="D975">
        <v>1</v>
      </c>
      <c r="E975">
        <v>1</v>
      </c>
      <c r="F975">
        <v>625</v>
      </c>
      <c r="G975" s="14">
        <v>46126</v>
      </c>
      <c r="H975" s="14">
        <v>46193</v>
      </c>
      <c r="I975">
        <v>68</v>
      </c>
      <c r="J975" s="15">
        <v>1198</v>
      </c>
      <c r="K975" s="16">
        <f t="shared" si="30"/>
        <v>1.9168000000000001</v>
      </c>
      <c r="L975" s="15">
        <v>998</v>
      </c>
      <c r="M975" s="16">
        <f t="shared" si="31"/>
        <v>1.5968</v>
      </c>
      <c r="N975" t="s">
        <v>418</v>
      </c>
    </row>
    <row r="976" spans="1:14" x14ac:dyDescent="0.25">
      <c r="A976" t="s">
        <v>457</v>
      </c>
      <c r="B976" t="s">
        <v>525</v>
      </c>
      <c r="C976" t="s">
        <v>1474</v>
      </c>
      <c r="D976">
        <v>2</v>
      </c>
      <c r="E976">
        <v>2</v>
      </c>
      <c r="F976">
        <v>1001</v>
      </c>
      <c r="G976" s="14">
        <v>46124</v>
      </c>
      <c r="H976" s="14">
        <v>46195</v>
      </c>
      <c r="I976">
        <v>72</v>
      </c>
      <c r="J976" s="15">
        <v>1248</v>
      </c>
      <c r="K976" s="16">
        <f t="shared" si="30"/>
        <v>1.2467532467532467</v>
      </c>
      <c r="L976" s="15">
        <v>941</v>
      </c>
      <c r="M976" s="16">
        <f t="shared" si="31"/>
        <v>0.94005994005994009</v>
      </c>
      <c r="N976" t="s">
        <v>418</v>
      </c>
    </row>
    <row r="977" spans="1:14" x14ac:dyDescent="0.25">
      <c r="A977" t="s">
        <v>457</v>
      </c>
      <c r="B977" t="s">
        <v>525</v>
      </c>
      <c r="C977" t="s">
        <v>1475</v>
      </c>
      <c r="D977">
        <v>2</v>
      </c>
      <c r="E977">
        <v>2</v>
      </c>
      <c r="F977">
        <v>1001</v>
      </c>
      <c r="G977" s="14">
        <v>46107</v>
      </c>
      <c r="H977" s="14">
        <v>46195</v>
      </c>
      <c r="I977">
        <v>89</v>
      </c>
      <c r="J977" s="15">
        <v>1263</v>
      </c>
      <c r="K977" s="16">
        <f t="shared" si="30"/>
        <v>1.2617382617382618</v>
      </c>
      <c r="L977" s="15">
        <v>952</v>
      </c>
      <c r="M977" s="16">
        <f t="shared" si="31"/>
        <v>0.95104895104895104</v>
      </c>
      <c r="N977" t="s">
        <v>418</v>
      </c>
    </row>
    <row r="978" spans="1:14" x14ac:dyDescent="0.25">
      <c r="A978" t="s">
        <v>465</v>
      </c>
      <c r="B978" t="s">
        <v>672</v>
      </c>
      <c r="C978" t="s">
        <v>1476</v>
      </c>
      <c r="D978">
        <v>1</v>
      </c>
      <c r="E978">
        <v>1</v>
      </c>
      <c r="F978">
        <v>532</v>
      </c>
      <c r="G978" s="14">
        <v>46183</v>
      </c>
      <c r="H978" s="14">
        <v>46195</v>
      </c>
      <c r="I978">
        <v>13</v>
      </c>
      <c r="J978" s="15">
        <v>1056</v>
      </c>
      <c r="K978" s="16">
        <f t="shared" si="30"/>
        <v>1.9849624060150375</v>
      </c>
      <c r="L978" s="15">
        <v>812</v>
      </c>
      <c r="M978" s="16">
        <f t="shared" si="31"/>
        <v>1.5263157894736843</v>
      </c>
      <c r="N978" t="s">
        <v>418</v>
      </c>
    </row>
    <row r="979" spans="1:14" x14ac:dyDescent="0.25">
      <c r="A979" t="s">
        <v>465</v>
      </c>
      <c r="B979" t="s">
        <v>551</v>
      </c>
      <c r="C979" t="s">
        <v>1477</v>
      </c>
      <c r="D979">
        <v>1</v>
      </c>
      <c r="E979">
        <v>1</v>
      </c>
      <c r="F979">
        <v>757</v>
      </c>
      <c r="G979" s="14">
        <v>46141</v>
      </c>
      <c r="H979" s="14">
        <v>46195</v>
      </c>
      <c r="I979">
        <v>55</v>
      </c>
      <c r="J979" s="15">
        <v>1266</v>
      </c>
      <c r="K979" s="16">
        <f t="shared" si="30"/>
        <v>1.6723910171730516</v>
      </c>
      <c r="L979" s="15">
        <v>1266</v>
      </c>
      <c r="M979" s="16">
        <f t="shared" si="31"/>
        <v>1.6723910171730516</v>
      </c>
      <c r="N979" t="s">
        <v>418</v>
      </c>
    </row>
    <row r="980" spans="1:14" x14ac:dyDescent="0.25">
      <c r="A980" t="s">
        <v>472</v>
      </c>
      <c r="B980" t="s">
        <v>473</v>
      </c>
      <c r="C980" t="s">
        <v>1478</v>
      </c>
      <c r="D980">
        <v>2</v>
      </c>
      <c r="E980">
        <v>1</v>
      </c>
      <c r="F980">
        <v>800</v>
      </c>
      <c r="G980" s="14">
        <v>46174</v>
      </c>
      <c r="H980" s="14">
        <v>46196</v>
      </c>
      <c r="I980">
        <v>23</v>
      </c>
      <c r="J980" s="15">
        <v>1248</v>
      </c>
      <c r="K980" s="16">
        <f t="shared" si="30"/>
        <v>1.56</v>
      </c>
      <c r="L980" s="15">
        <v>1040</v>
      </c>
      <c r="M980" s="16">
        <f t="shared" si="31"/>
        <v>1.3</v>
      </c>
      <c r="N980" t="s">
        <v>418</v>
      </c>
    </row>
    <row r="981" spans="1:14" x14ac:dyDescent="0.25">
      <c r="A981" t="s">
        <v>486</v>
      </c>
      <c r="B981" t="s">
        <v>1466</v>
      </c>
      <c r="C981" t="s">
        <v>1479</v>
      </c>
      <c r="D981">
        <v>2</v>
      </c>
      <c r="E981">
        <v>1</v>
      </c>
      <c r="F981">
        <v>860</v>
      </c>
      <c r="G981" s="14">
        <v>46120</v>
      </c>
      <c r="H981" s="14">
        <v>46196</v>
      </c>
      <c r="I981">
        <v>77</v>
      </c>
      <c r="J981" s="15">
        <v>1554</v>
      </c>
      <c r="K981" s="16">
        <f t="shared" si="30"/>
        <v>1.8069767441860465</v>
      </c>
      <c r="L981" s="15">
        <v>1554</v>
      </c>
      <c r="M981" s="16">
        <f t="shared" si="31"/>
        <v>1.8069767441860465</v>
      </c>
      <c r="N981" t="s">
        <v>418</v>
      </c>
    </row>
    <row r="982" spans="1:14" x14ac:dyDescent="0.25">
      <c r="A982" t="s">
        <v>486</v>
      </c>
      <c r="B982" t="s">
        <v>1480</v>
      </c>
      <c r="C982" t="s">
        <v>1481</v>
      </c>
      <c r="D982">
        <v>2</v>
      </c>
      <c r="E982">
        <v>2</v>
      </c>
      <c r="F982">
        <v>1000</v>
      </c>
      <c r="G982" s="14">
        <v>46079</v>
      </c>
      <c r="H982" s="14">
        <v>46196</v>
      </c>
      <c r="I982">
        <v>118</v>
      </c>
      <c r="J982" s="15">
        <v>1381</v>
      </c>
      <c r="K982" s="16">
        <f t="shared" si="30"/>
        <v>1.381</v>
      </c>
      <c r="L982" s="15">
        <v>1381</v>
      </c>
      <c r="M982" s="16">
        <f t="shared" si="31"/>
        <v>1.381</v>
      </c>
      <c r="N982" t="s">
        <v>418</v>
      </c>
    </row>
    <row r="983" spans="1:14" x14ac:dyDescent="0.25">
      <c r="A983" t="s">
        <v>477</v>
      </c>
      <c r="B983" t="s">
        <v>478</v>
      </c>
      <c r="C983" t="s">
        <v>1482</v>
      </c>
      <c r="D983">
        <v>1</v>
      </c>
      <c r="E983">
        <v>1</v>
      </c>
      <c r="F983">
        <v>771</v>
      </c>
      <c r="G983" s="14">
        <v>46144</v>
      </c>
      <c r="H983" s="14">
        <v>46197</v>
      </c>
      <c r="I983">
        <v>54</v>
      </c>
      <c r="J983" s="15">
        <v>1145</v>
      </c>
      <c r="K983" s="16">
        <f t="shared" si="30"/>
        <v>1.4850843060959793</v>
      </c>
      <c r="L983" s="15">
        <v>1145</v>
      </c>
      <c r="M983" s="16">
        <f t="shared" si="31"/>
        <v>1.4850843060959793</v>
      </c>
      <c r="N983" t="s">
        <v>418</v>
      </c>
    </row>
    <row r="984" spans="1:14" x14ac:dyDescent="0.25">
      <c r="A984" t="s">
        <v>462</v>
      </c>
      <c r="B984" t="s">
        <v>470</v>
      </c>
      <c r="C984" t="s">
        <v>1483</v>
      </c>
      <c r="D984">
        <v>1</v>
      </c>
      <c r="E984">
        <v>1</v>
      </c>
      <c r="F984">
        <v>732</v>
      </c>
      <c r="G984" s="14">
        <v>46056</v>
      </c>
      <c r="H984" s="14">
        <v>46197</v>
      </c>
      <c r="I984">
        <v>142</v>
      </c>
      <c r="J984" s="15">
        <v>1450</v>
      </c>
      <c r="K984" s="16">
        <f t="shared" si="30"/>
        <v>1.9808743169398908</v>
      </c>
      <c r="L984" s="15">
        <v>1088</v>
      </c>
      <c r="M984" s="16">
        <f t="shared" si="31"/>
        <v>1.4863387978142077</v>
      </c>
      <c r="N984" t="s">
        <v>418</v>
      </c>
    </row>
    <row r="985" spans="1:14" x14ac:dyDescent="0.25">
      <c r="A985" t="s">
        <v>462</v>
      </c>
      <c r="B985" t="s">
        <v>470</v>
      </c>
      <c r="C985" t="s">
        <v>1484</v>
      </c>
      <c r="D985">
        <v>1</v>
      </c>
      <c r="E985">
        <v>1</v>
      </c>
      <c r="F985">
        <v>732</v>
      </c>
      <c r="G985" s="14">
        <v>46037</v>
      </c>
      <c r="H985" s="14">
        <v>46197</v>
      </c>
      <c r="I985">
        <v>161</v>
      </c>
      <c r="J985" s="15">
        <v>1500</v>
      </c>
      <c r="K985" s="16">
        <f t="shared" si="30"/>
        <v>2.0491803278688523</v>
      </c>
      <c r="L985" s="15">
        <v>1125</v>
      </c>
      <c r="M985" s="16">
        <f t="shared" si="31"/>
        <v>1.5368852459016393</v>
      </c>
      <c r="N985" t="s">
        <v>418</v>
      </c>
    </row>
    <row r="986" spans="1:14" x14ac:dyDescent="0.25">
      <c r="A986" t="s">
        <v>462</v>
      </c>
      <c r="B986" t="s">
        <v>463</v>
      </c>
      <c r="C986" t="s">
        <v>1485</v>
      </c>
      <c r="D986">
        <v>2</v>
      </c>
      <c r="E986">
        <v>2</v>
      </c>
      <c r="F986">
        <v>958</v>
      </c>
      <c r="G986" s="14">
        <v>46171</v>
      </c>
      <c r="H986" s="14">
        <v>46197</v>
      </c>
      <c r="I986">
        <v>27</v>
      </c>
      <c r="J986" s="15">
        <v>1650</v>
      </c>
      <c r="K986" s="16">
        <f t="shared" si="30"/>
        <v>1.7223382045929019</v>
      </c>
      <c r="L986" s="15">
        <v>1238</v>
      </c>
      <c r="M986" s="16">
        <f t="shared" si="31"/>
        <v>1.292275574112735</v>
      </c>
      <c r="N986" t="s">
        <v>418</v>
      </c>
    </row>
    <row r="987" spans="1:14" x14ac:dyDescent="0.25">
      <c r="A987" t="s">
        <v>462</v>
      </c>
      <c r="B987" t="s">
        <v>507</v>
      </c>
      <c r="C987" t="s">
        <v>1486</v>
      </c>
      <c r="D987">
        <v>3</v>
      </c>
      <c r="E987">
        <v>2</v>
      </c>
      <c r="F987">
        <v>1345</v>
      </c>
      <c r="G987" s="14">
        <v>46056</v>
      </c>
      <c r="H987" s="14">
        <v>46197</v>
      </c>
      <c r="I987">
        <v>142</v>
      </c>
      <c r="J987" s="15">
        <v>2150</v>
      </c>
      <c r="K987" s="16">
        <f t="shared" si="30"/>
        <v>1.5985130111524164</v>
      </c>
      <c r="L987" s="15">
        <v>1612</v>
      </c>
      <c r="M987" s="16">
        <f t="shared" si="31"/>
        <v>1.1985130111524163</v>
      </c>
      <c r="N987" t="s">
        <v>418</v>
      </c>
    </row>
    <row r="988" spans="1:14" x14ac:dyDescent="0.25">
      <c r="A988" t="s">
        <v>457</v>
      </c>
      <c r="B988" t="s">
        <v>1037</v>
      </c>
      <c r="C988" t="s">
        <v>1487</v>
      </c>
      <c r="D988">
        <v>1</v>
      </c>
      <c r="E988">
        <v>1</v>
      </c>
      <c r="F988">
        <v>541</v>
      </c>
      <c r="G988" s="14">
        <v>46115</v>
      </c>
      <c r="H988" s="14">
        <v>46197</v>
      </c>
      <c r="I988">
        <v>83</v>
      </c>
      <c r="J988" s="15">
        <v>1113</v>
      </c>
      <c r="K988" s="16">
        <f t="shared" si="30"/>
        <v>2.0573012939001849</v>
      </c>
      <c r="L988" s="15">
        <v>770</v>
      </c>
      <c r="M988" s="16">
        <f t="shared" si="31"/>
        <v>1.4232902033271719</v>
      </c>
      <c r="N988" t="s">
        <v>418</v>
      </c>
    </row>
    <row r="989" spans="1:14" x14ac:dyDescent="0.25">
      <c r="A989" t="s">
        <v>457</v>
      </c>
      <c r="B989" t="s">
        <v>525</v>
      </c>
      <c r="C989" t="s">
        <v>1488</v>
      </c>
      <c r="D989">
        <v>2</v>
      </c>
      <c r="E989">
        <v>2</v>
      </c>
      <c r="F989">
        <v>1001</v>
      </c>
      <c r="G989" s="14">
        <v>46181</v>
      </c>
      <c r="H989" s="14">
        <v>46197</v>
      </c>
      <c r="I989">
        <v>17</v>
      </c>
      <c r="J989" s="15">
        <v>1263</v>
      </c>
      <c r="K989" s="16">
        <f t="shared" si="30"/>
        <v>1.2617382617382618</v>
      </c>
      <c r="L989" s="15">
        <v>952</v>
      </c>
      <c r="M989" s="16">
        <f t="shared" si="31"/>
        <v>0.95104895104895104</v>
      </c>
      <c r="N989" t="s">
        <v>418</v>
      </c>
    </row>
    <row r="990" spans="1:14" x14ac:dyDescent="0.25">
      <c r="A990" t="s">
        <v>477</v>
      </c>
      <c r="B990" t="s">
        <v>587</v>
      </c>
      <c r="C990" t="s">
        <v>1489</v>
      </c>
      <c r="D990">
        <v>3</v>
      </c>
      <c r="E990">
        <v>2</v>
      </c>
      <c r="F990">
        <v>1244</v>
      </c>
      <c r="G990" s="14">
        <v>46130</v>
      </c>
      <c r="H990" s="14">
        <v>46198</v>
      </c>
      <c r="I990">
        <v>69</v>
      </c>
      <c r="J990" s="15">
        <v>1555</v>
      </c>
      <c r="K990" s="16">
        <f t="shared" si="30"/>
        <v>1.25</v>
      </c>
      <c r="L990" s="15">
        <v>1555</v>
      </c>
      <c r="M990" s="16">
        <f t="shared" si="31"/>
        <v>1.25</v>
      </c>
      <c r="N990" t="s">
        <v>418</v>
      </c>
    </row>
    <row r="991" spans="1:14" x14ac:dyDescent="0.25">
      <c r="A991" t="s">
        <v>462</v>
      </c>
      <c r="B991" t="s">
        <v>475</v>
      </c>
      <c r="C991" t="s">
        <v>536</v>
      </c>
      <c r="D991">
        <v>2</v>
      </c>
      <c r="E991">
        <v>2</v>
      </c>
      <c r="F991">
        <v>1029</v>
      </c>
      <c r="G991" s="14">
        <v>46084</v>
      </c>
      <c r="H991" s="14">
        <v>46198</v>
      </c>
      <c r="I991">
        <v>115</v>
      </c>
      <c r="J991" s="15">
        <v>1700</v>
      </c>
      <c r="K991" s="16">
        <f t="shared" si="30"/>
        <v>1.652089407191448</v>
      </c>
      <c r="L991" s="15">
        <v>1275</v>
      </c>
      <c r="M991" s="16">
        <f t="shared" si="31"/>
        <v>1.2390670553935861</v>
      </c>
      <c r="N991" t="s">
        <v>418</v>
      </c>
    </row>
    <row r="992" spans="1:14" x14ac:dyDescent="0.25">
      <c r="A992" t="s">
        <v>462</v>
      </c>
      <c r="B992" t="s">
        <v>475</v>
      </c>
      <c r="C992" t="s">
        <v>1490</v>
      </c>
      <c r="D992">
        <v>2</v>
      </c>
      <c r="E992">
        <v>2</v>
      </c>
      <c r="F992">
        <v>1029</v>
      </c>
      <c r="G992" s="14">
        <v>46128</v>
      </c>
      <c r="H992" s="14">
        <v>46198</v>
      </c>
      <c r="I992">
        <v>71</v>
      </c>
      <c r="J992" s="15">
        <v>1800</v>
      </c>
      <c r="K992" s="16">
        <f t="shared" si="30"/>
        <v>1.749271137026239</v>
      </c>
      <c r="L992" s="15">
        <v>1350</v>
      </c>
      <c r="M992" s="16">
        <f t="shared" si="31"/>
        <v>1.3119533527696794</v>
      </c>
      <c r="N992" t="s">
        <v>418</v>
      </c>
    </row>
    <row r="993" spans="1:14" x14ac:dyDescent="0.25">
      <c r="A993" t="s">
        <v>457</v>
      </c>
      <c r="B993" t="s">
        <v>1037</v>
      </c>
      <c r="C993" t="s">
        <v>1491</v>
      </c>
      <c r="D993">
        <v>1</v>
      </c>
      <c r="E993">
        <v>1</v>
      </c>
      <c r="F993">
        <v>541</v>
      </c>
      <c r="G993" s="14">
        <v>46171</v>
      </c>
      <c r="H993" s="14">
        <v>46198</v>
      </c>
      <c r="I993">
        <v>28</v>
      </c>
      <c r="J993" s="15">
        <v>1128</v>
      </c>
      <c r="K993" s="16">
        <f t="shared" si="30"/>
        <v>2.0850277264325325</v>
      </c>
      <c r="L993" s="15">
        <v>781</v>
      </c>
      <c r="M993" s="16">
        <f t="shared" si="31"/>
        <v>1.4436229205175601</v>
      </c>
      <c r="N993" t="s">
        <v>418</v>
      </c>
    </row>
    <row r="994" spans="1:14" x14ac:dyDescent="0.25">
      <c r="A994" t="s">
        <v>465</v>
      </c>
      <c r="B994" t="s">
        <v>672</v>
      </c>
      <c r="C994" t="s">
        <v>1492</v>
      </c>
      <c r="D994">
        <v>1</v>
      </c>
      <c r="E994">
        <v>1</v>
      </c>
      <c r="F994">
        <v>532</v>
      </c>
      <c r="G994" s="14">
        <v>46173</v>
      </c>
      <c r="H994" s="14">
        <v>46198</v>
      </c>
      <c r="I994">
        <v>26</v>
      </c>
      <c r="J994" s="15">
        <v>1006</v>
      </c>
      <c r="K994" s="16">
        <f t="shared" si="30"/>
        <v>1.8909774436090225</v>
      </c>
      <c r="L994" s="15">
        <v>774</v>
      </c>
      <c r="M994" s="16">
        <f t="shared" si="31"/>
        <v>1.4548872180451127</v>
      </c>
      <c r="N994" t="s">
        <v>418</v>
      </c>
    </row>
    <row r="995" spans="1:14" x14ac:dyDescent="0.25">
      <c r="A995" t="s">
        <v>451</v>
      </c>
      <c r="B995" t="s">
        <v>460</v>
      </c>
      <c r="C995" t="s">
        <v>769</v>
      </c>
      <c r="D995">
        <v>1</v>
      </c>
      <c r="E995">
        <v>1</v>
      </c>
      <c r="F995">
        <v>726</v>
      </c>
      <c r="G995" s="14">
        <v>46143</v>
      </c>
      <c r="H995" s="14">
        <v>46199</v>
      </c>
      <c r="I995">
        <v>57</v>
      </c>
      <c r="J995" s="15">
        <v>1325</v>
      </c>
      <c r="K995" s="16">
        <f t="shared" si="30"/>
        <v>1.8250688705234159</v>
      </c>
      <c r="L995" s="15">
        <v>1215</v>
      </c>
      <c r="M995" s="16">
        <f t="shared" si="31"/>
        <v>1.6735537190082646</v>
      </c>
      <c r="N995" t="s">
        <v>418</v>
      </c>
    </row>
    <row r="996" spans="1:14" x14ac:dyDescent="0.25">
      <c r="A996" t="s">
        <v>465</v>
      </c>
      <c r="B996" t="s">
        <v>603</v>
      </c>
      <c r="C996" t="s">
        <v>1493</v>
      </c>
      <c r="D996">
        <v>2</v>
      </c>
      <c r="E996">
        <v>2</v>
      </c>
      <c r="F996">
        <v>1011</v>
      </c>
      <c r="G996" s="14">
        <v>46177</v>
      </c>
      <c r="H996" s="14">
        <v>46199</v>
      </c>
      <c r="I996">
        <v>23</v>
      </c>
      <c r="J996" s="15">
        <v>1265</v>
      </c>
      <c r="K996" s="16">
        <f t="shared" si="30"/>
        <v>1.2512363996043521</v>
      </c>
      <c r="L996" s="15">
        <v>1265</v>
      </c>
      <c r="M996" s="16">
        <f t="shared" si="31"/>
        <v>1.2512363996043521</v>
      </c>
      <c r="N996" t="s">
        <v>418</v>
      </c>
    </row>
    <row r="997" spans="1:14" x14ac:dyDescent="0.25">
      <c r="A997" t="s">
        <v>477</v>
      </c>
      <c r="B997" t="s">
        <v>478</v>
      </c>
      <c r="C997" t="s">
        <v>1494</v>
      </c>
      <c r="D997">
        <v>1</v>
      </c>
      <c r="E997">
        <v>1</v>
      </c>
      <c r="F997">
        <v>771</v>
      </c>
      <c r="G997" s="14">
        <v>46197</v>
      </c>
      <c r="H997" s="14">
        <v>46200</v>
      </c>
      <c r="I997">
        <v>4</v>
      </c>
      <c r="J997" s="15">
        <v>1145</v>
      </c>
      <c r="K997" s="16">
        <f t="shared" si="30"/>
        <v>1.4850843060959793</v>
      </c>
      <c r="L997" s="15">
        <v>1145</v>
      </c>
      <c r="M997" s="16">
        <f t="shared" si="31"/>
        <v>1.4850843060959793</v>
      </c>
      <c r="N997" t="s">
        <v>418</v>
      </c>
    </row>
    <row r="998" spans="1:14" x14ac:dyDescent="0.25">
      <c r="A998" t="s">
        <v>477</v>
      </c>
      <c r="B998" t="s">
        <v>609</v>
      </c>
      <c r="C998" t="s">
        <v>1495</v>
      </c>
      <c r="D998">
        <v>2</v>
      </c>
      <c r="E998">
        <v>2</v>
      </c>
      <c r="F998">
        <v>1050</v>
      </c>
      <c r="G998" s="14">
        <v>46197</v>
      </c>
      <c r="H998" s="14">
        <v>46200</v>
      </c>
      <c r="I998">
        <v>4</v>
      </c>
      <c r="J998" s="15">
        <v>1427</v>
      </c>
      <c r="K998" s="16">
        <f t="shared" si="30"/>
        <v>1.3590476190476191</v>
      </c>
      <c r="L998" s="15">
        <v>1427</v>
      </c>
      <c r="M998" s="16">
        <f t="shared" si="31"/>
        <v>1.3590476190476191</v>
      </c>
      <c r="N998" t="s">
        <v>418</v>
      </c>
    </row>
    <row r="999" spans="1:14" x14ac:dyDescent="0.25">
      <c r="A999" t="s">
        <v>465</v>
      </c>
      <c r="B999" t="s">
        <v>822</v>
      </c>
      <c r="C999" t="s">
        <v>1496</v>
      </c>
      <c r="D999">
        <v>2</v>
      </c>
      <c r="E999">
        <v>1</v>
      </c>
      <c r="F999">
        <v>912</v>
      </c>
      <c r="G999" s="14">
        <v>46172</v>
      </c>
      <c r="H999" s="14">
        <v>46200</v>
      </c>
      <c r="I999">
        <v>29</v>
      </c>
      <c r="J999" s="15">
        <v>1206</v>
      </c>
      <c r="K999" s="16">
        <f t="shared" si="30"/>
        <v>1.3223684210526316</v>
      </c>
      <c r="L999" s="15">
        <v>1206</v>
      </c>
      <c r="M999" s="16">
        <f t="shared" si="31"/>
        <v>1.3223684210526316</v>
      </c>
      <c r="N999" t="s">
        <v>418</v>
      </c>
    </row>
    <row r="1000" spans="1:14" x14ac:dyDescent="0.25">
      <c r="A1000" t="s">
        <v>477</v>
      </c>
      <c r="B1000" t="s">
        <v>587</v>
      </c>
      <c r="C1000" t="s">
        <v>1497</v>
      </c>
      <c r="D1000">
        <v>3</v>
      </c>
      <c r="E1000">
        <v>2</v>
      </c>
      <c r="F1000">
        <v>1244</v>
      </c>
      <c r="G1000" s="14">
        <v>46197</v>
      </c>
      <c r="H1000" s="14">
        <v>46201</v>
      </c>
      <c r="I1000">
        <v>5</v>
      </c>
      <c r="J1000" s="15">
        <v>1555</v>
      </c>
      <c r="K1000" s="16">
        <f t="shared" si="30"/>
        <v>1.25</v>
      </c>
      <c r="L1000" s="15">
        <v>1555</v>
      </c>
      <c r="M1000" s="16">
        <f t="shared" si="31"/>
        <v>1.25</v>
      </c>
      <c r="N1000" t="s">
        <v>418</v>
      </c>
    </row>
    <row r="1001" spans="1:14" x14ac:dyDescent="0.25">
      <c r="A1001" t="s">
        <v>472</v>
      </c>
      <c r="B1001" t="s">
        <v>473</v>
      </c>
      <c r="C1001" t="s">
        <v>1498</v>
      </c>
      <c r="D1001">
        <v>2</v>
      </c>
      <c r="E1001">
        <v>1</v>
      </c>
      <c r="F1001">
        <v>800</v>
      </c>
      <c r="G1001" s="14">
        <v>46076</v>
      </c>
      <c r="H1001" s="14">
        <v>46201</v>
      </c>
      <c r="I1001">
        <v>126</v>
      </c>
      <c r="J1001" s="15">
        <v>1298</v>
      </c>
      <c r="K1001" s="16">
        <f t="shared" si="30"/>
        <v>1.6225000000000001</v>
      </c>
      <c r="L1001" s="15">
        <v>1113</v>
      </c>
      <c r="M1001" s="16">
        <f t="shared" si="31"/>
        <v>1.3912500000000001</v>
      </c>
      <c r="N1001" t="s">
        <v>418</v>
      </c>
    </row>
    <row r="1002" spans="1:14" x14ac:dyDescent="0.25">
      <c r="A1002" t="s">
        <v>486</v>
      </c>
      <c r="B1002" t="s">
        <v>1469</v>
      </c>
      <c r="C1002" t="s">
        <v>1499</v>
      </c>
      <c r="D1002">
        <v>1</v>
      </c>
      <c r="E1002">
        <v>1</v>
      </c>
      <c r="F1002">
        <v>650</v>
      </c>
      <c r="G1002" s="14">
        <v>46192</v>
      </c>
      <c r="H1002" s="14">
        <v>46202</v>
      </c>
      <c r="I1002">
        <v>11</v>
      </c>
      <c r="J1002" s="15">
        <v>1261</v>
      </c>
      <c r="K1002" s="16">
        <f t="shared" si="30"/>
        <v>1.94</v>
      </c>
      <c r="L1002" s="15">
        <v>1261</v>
      </c>
      <c r="M1002" s="16">
        <f t="shared" si="31"/>
        <v>1.94</v>
      </c>
      <c r="N1002" t="s">
        <v>418</v>
      </c>
    </row>
    <row r="1003" spans="1:14" x14ac:dyDescent="0.25">
      <c r="A1003" t="s">
        <v>465</v>
      </c>
      <c r="B1003" t="s">
        <v>984</v>
      </c>
      <c r="C1003" t="s">
        <v>1500</v>
      </c>
      <c r="D1003">
        <v>1</v>
      </c>
      <c r="E1003">
        <v>1</v>
      </c>
      <c r="F1003">
        <v>532</v>
      </c>
      <c r="G1003" s="14">
        <v>46200</v>
      </c>
      <c r="H1003" s="14">
        <v>46202</v>
      </c>
      <c r="I1003">
        <v>3</v>
      </c>
      <c r="J1003" s="15">
        <v>1076</v>
      </c>
      <c r="K1003" s="16">
        <f t="shared" si="30"/>
        <v>2.0225563909774436</v>
      </c>
      <c r="L1003" s="15">
        <v>1076</v>
      </c>
      <c r="M1003" s="16">
        <f t="shared" si="31"/>
        <v>2.0225563909774436</v>
      </c>
      <c r="N1003" t="s">
        <v>418</v>
      </c>
    </row>
    <row r="1004" spans="1:14" x14ac:dyDescent="0.25">
      <c r="A1004" t="s">
        <v>477</v>
      </c>
      <c r="B1004" t="s">
        <v>609</v>
      </c>
      <c r="C1004" t="s">
        <v>1501</v>
      </c>
      <c r="D1004">
        <v>2</v>
      </c>
      <c r="E1004">
        <v>2</v>
      </c>
      <c r="F1004">
        <v>1050</v>
      </c>
      <c r="G1004" s="14">
        <v>46159</v>
      </c>
      <c r="H1004" s="14">
        <v>46203</v>
      </c>
      <c r="I1004">
        <v>45</v>
      </c>
      <c r="J1004" s="15">
        <v>1427</v>
      </c>
      <c r="K1004" s="16">
        <f t="shared" si="30"/>
        <v>1.3590476190476191</v>
      </c>
      <c r="L1004" s="15">
        <v>1427</v>
      </c>
      <c r="M1004" s="16">
        <f t="shared" si="31"/>
        <v>1.3590476190476191</v>
      </c>
      <c r="N1004" t="s">
        <v>418</v>
      </c>
    </row>
    <row r="1005" spans="1:14" x14ac:dyDescent="0.25">
      <c r="A1005" t="s">
        <v>454</v>
      </c>
      <c r="B1005" t="s">
        <v>481</v>
      </c>
      <c r="C1005" t="s">
        <v>1502</v>
      </c>
      <c r="D1005">
        <v>2</v>
      </c>
      <c r="E1005">
        <v>2</v>
      </c>
      <c r="F1005">
        <v>1001</v>
      </c>
      <c r="G1005" s="14">
        <v>46190</v>
      </c>
      <c r="H1005" s="14">
        <v>46203</v>
      </c>
      <c r="I1005">
        <v>14</v>
      </c>
      <c r="J1005" s="15">
        <v>1350</v>
      </c>
      <c r="K1005" s="16">
        <f t="shared" si="30"/>
        <v>1.3486513486513487</v>
      </c>
      <c r="L1005" s="15">
        <v>1350</v>
      </c>
      <c r="M1005" s="16">
        <f t="shared" si="31"/>
        <v>1.3486513486513487</v>
      </c>
      <c r="N1005" t="s">
        <v>418</v>
      </c>
    </row>
    <row r="1006" spans="1:14" x14ac:dyDescent="0.25">
      <c r="A1006" t="s">
        <v>486</v>
      </c>
      <c r="B1006" t="s">
        <v>581</v>
      </c>
      <c r="C1006" t="s">
        <v>1503</v>
      </c>
      <c r="D1006">
        <v>1</v>
      </c>
      <c r="E1006">
        <v>1</v>
      </c>
      <c r="F1006">
        <v>650</v>
      </c>
      <c r="G1006" s="14">
        <v>46091</v>
      </c>
      <c r="H1006" s="14">
        <v>46203</v>
      </c>
      <c r="I1006">
        <v>113</v>
      </c>
      <c r="J1006" s="15">
        <v>1176</v>
      </c>
      <c r="K1006" s="16">
        <f t="shared" si="30"/>
        <v>1.8092307692307692</v>
      </c>
      <c r="L1006" s="15">
        <v>1176</v>
      </c>
      <c r="M1006" s="16">
        <f t="shared" si="31"/>
        <v>1.8092307692307692</v>
      </c>
      <c r="N1006" t="s">
        <v>418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Rent Chart</vt:lpstr>
      <vt:lpstr>The Boardwalk (Yardi)</vt:lpstr>
      <vt:lpstr>Comp Set (HelloData)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Megan Burrows</cp:lastModifiedBy>
  <cp:revision>0</cp:revision>
  <dcterms:created xsi:type="dcterms:W3CDTF">2026-07-23T11:36:07Z</dcterms:created>
  <dcterms:modified xsi:type="dcterms:W3CDTF">2026-07-23T18:13:37Z</dcterms:modified>
  <dc:language>en-US</dc:language>
</cp:coreProperties>
</file>