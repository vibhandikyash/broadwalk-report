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egan\Desktop\2Q26 Quarterly Investor Reporting\9.) Yardi LTO (rent growth) REport_2Q26 by Unit Type\"/>
    </mc:Choice>
  </mc:AlternateContent>
  <xr:revisionPtr revIDLastSave="0" documentId="13_ncr:1_{A59E5E0C-FE9A-4DC3-99C6-38893428C5B6}" xr6:coauthVersionLast="47" xr6:coauthVersionMax="47" xr10:uidLastSave="{00000000-0000-0000-0000-000000000000}"/>
  <bookViews>
    <workbookView xWindow="28680" yWindow="-45" windowWidth="29040" windowHeight="15720" xr2:uid="{00000000-000D-0000-FFFF-FFFF00000000}"/>
  </bookViews>
  <sheets>
    <sheet name="RRG-10658" sheetId="1" r:id="rId1"/>
  </sheets>
  <definedNames>
    <definedName name="_xlnm._FilterDatabase" localSheetId="0" hidden="1">'RRG-10658'!$B$46:$W$94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94" i="1" l="1"/>
  <c r="Q94" i="1"/>
  <c r="P94" i="1"/>
  <c r="K94" i="1"/>
  <c r="J94" i="1"/>
  <c r="I94" i="1"/>
  <c r="H94" i="1"/>
  <c r="V93" i="1"/>
  <c r="U93" i="1"/>
  <c r="S93" i="1"/>
  <c r="L93" i="1"/>
  <c r="M93" i="1" s="1"/>
  <c r="G93" i="1"/>
  <c r="N93" i="1" s="1"/>
  <c r="O93" i="1" s="1"/>
  <c r="V92" i="1"/>
  <c r="U92" i="1"/>
  <c r="S92" i="1"/>
  <c r="T92" i="1" s="1"/>
  <c r="L92" i="1"/>
  <c r="G92" i="1"/>
  <c r="V91" i="1"/>
  <c r="U91" i="1"/>
  <c r="S91" i="1"/>
  <c r="T91" i="1" s="1"/>
  <c r="L91" i="1"/>
  <c r="M91" i="1" s="1"/>
  <c r="G91" i="1"/>
  <c r="R90" i="1"/>
  <c r="Q90" i="1"/>
  <c r="P90" i="1"/>
  <c r="K90" i="1"/>
  <c r="J90" i="1"/>
  <c r="I90" i="1"/>
  <c r="H90" i="1"/>
  <c r="V89" i="1"/>
  <c r="U89" i="1"/>
  <c r="S89" i="1"/>
  <c r="T89" i="1" s="1"/>
  <c r="L89" i="1"/>
  <c r="M89" i="1" s="1"/>
  <c r="G89" i="1"/>
  <c r="N89" i="1" s="1"/>
  <c r="V88" i="1"/>
  <c r="U88" i="1"/>
  <c r="S88" i="1"/>
  <c r="T88" i="1" s="1"/>
  <c r="L88" i="1"/>
  <c r="M88" i="1" s="1"/>
  <c r="G88" i="1"/>
  <c r="V87" i="1"/>
  <c r="U87" i="1"/>
  <c r="S87" i="1"/>
  <c r="T87" i="1" s="1"/>
  <c r="L87" i="1"/>
  <c r="G87" i="1"/>
  <c r="R86" i="1"/>
  <c r="Q86" i="1"/>
  <c r="P86" i="1"/>
  <c r="K86" i="1"/>
  <c r="J86" i="1"/>
  <c r="I86" i="1"/>
  <c r="H86" i="1"/>
  <c r="V85" i="1"/>
  <c r="U85" i="1"/>
  <c r="S85" i="1"/>
  <c r="T85" i="1" s="1"/>
  <c r="L85" i="1"/>
  <c r="M85" i="1" s="1"/>
  <c r="G85" i="1"/>
  <c r="V84" i="1"/>
  <c r="U84" i="1"/>
  <c r="S84" i="1"/>
  <c r="T84" i="1" s="1"/>
  <c r="L84" i="1"/>
  <c r="M84" i="1" s="1"/>
  <c r="G84" i="1"/>
  <c r="V83" i="1"/>
  <c r="U83" i="1"/>
  <c r="S83" i="1"/>
  <c r="T83" i="1" s="1"/>
  <c r="L83" i="1"/>
  <c r="M83" i="1" s="1"/>
  <c r="G83" i="1"/>
  <c r="V82" i="1"/>
  <c r="U82" i="1"/>
  <c r="S82" i="1"/>
  <c r="T82" i="1" s="1"/>
  <c r="L82" i="1"/>
  <c r="M82" i="1" s="1"/>
  <c r="G82" i="1"/>
  <c r="V81" i="1"/>
  <c r="U81" i="1"/>
  <c r="S81" i="1"/>
  <c r="T81" i="1" s="1"/>
  <c r="L81" i="1"/>
  <c r="M81" i="1" s="1"/>
  <c r="G81" i="1"/>
  <c r="N81" i="1" s="1"/>
  <c r="V80" i="1"/>
  <c r="U80" i="1"/>
  <c r="S80" i="1"/>
  <c r="T80" i="1" s="1"/>
  <c r="L80" i="1"/>
  <c r="M80" i="1" s="1"/>
  <c r="G80" i="1"/>
  <c r="V79" i="1"/>
  <c r="U79" i="1"/>
  <c r="S79" i="1"/>
  <c r="T79" i="1" s="1"/>
  <c r="L79" i="1"/>
  <c r="M79" i="1" s="1"/>
  <c r="G79" i="1"/>
  <c r="V78" i="1"/>
  <c r="U78" i="1"/>
  <c r="S78" i="1"/>
  <c r="L78" i="1"/>
  <c r="M78" i="1" s="1"/>
  <c r="G78" i="1"/>
  <c r="R77" i="1"/>
  <c r="Q77" i="1"/>
  <c r="P77" i="1"/>
  <c r="K77" i="1"/>
  <c r="J77" i="1"/>
  <c r="I77" i="1"/>
  <c r="H77" i="1"/>
  <c r="V76" i="1"/>
  <c r="V77" i="1" s="1"/>
  <c r="U76" i="1"/>
  <c r="U77" i="1" s="1"/>
  <c r="S76" i="1"/>
  <c r="T76" i="1" s="1"/>
  <c r="T77" i="1" s="1"/>
  <c r="L76" i="1"/>
  <c r="M76" i="1" s="1"/>
  <c r="M77" i="1" s="1"/>
  <c r="G76" i="1"/>
  <c r="G77" i="1" s="1"/>
  <c r="R75" i="1"/>
  <c r="Q75" i="1"/>
  <c r="P75" i="1"/>
  <c r="K75" i="1"/>
  <c r="J75" i="1"/>
  <c r="I75" i="1"/>
  <c r="H75" i="1"/>
  <c r="V74" i="1"/>
  <c r="U74" i="1"/>
  <c r="S74" i="1"/>
  <c r="T74" i="1" s="1"/>
  <c r="L74" i="1"/>
  <c r="M74" i="1" s="1"/>
  <c r="G74" i="1"/>
  <c r="V73" i="1"/>
  <c r="U73" i="1"/>
  <c r="S73" i="1"/>
  <c r="L73" i="1"/>
  <c r="M73" i="1" s="1"/>
  <c r="G73" i="1"/>
  <c r="R72" i="1"/>
  <c r="Q72" i="1"/>
  <c r="P72" i="1"/>
  <c r="K72" i="1"/>
  <c r="J72" i="1"/>
  <c r="I72" i="1"/>
  <c r="H72" i="1"/>
  <c r="V71" i="1"/>
  <c r="U71" i="1"/>
  <c r="S71" i="1"/>
  <c r="T71" i="1" s="1"/>
  <c r="L71" i="1"/>
  <c r="M71" i="1" s="1"/>
  <c r="G71" i="1"/>
  <c r="N71" i="1" s="1"/>
  <c r="V70" i="1"/>
  <c r="U70" i="1"/>
  <c r="S70" i="1"/>
  <c r="T70" i="1" s="1"/>
  <c r="L70" i="1"/>
  <c r="M70" i="1" s="1"/>
  <c r="G70" i="1"/>
  <c r="V69" i="1"/>
  <c r="U69" i="1"/>
  <c r="S69" i="1"/>
  <c r="T69" i="1" s="1"/>
  <c r="L69" i="1"/>
  <c r="M69" i="1" s="1"/>
  <c r="G69" i="1"/>
  <c r="V68" i="1"/>
  <c r="U68" i="1"/>
  <c r="S68" i="1"/>
  <c r="L68" i="1"/>
  <c r="G68" i="1"/>
  <c r="V67" i="1"/>
  <c r="U67" i="1"/>
  <c r="S67" i="1"/>
  <c r="T67" i="1" s="1"/>
  <c r="L67" i="1"/>
  <c r="M67" i="1" s="1"/>
  <c r="G67" i="1"/>
  <c r="R66" i="1"/>
  <c r="Q66" i="1"/>
  <c r="P66" i="1"/>
  <c r="K66" i="1"/>
  <c r="J66" i="1"/>
  <c r="I66" i="1"/>
  <c r="H66" i="1"/>
  <c r="V65" i="1"/>
  <c r="V66" i="1" s="1"/>
  <c r="U65" i="1"/>
  <c r="U66" i="1" s="1"/>
  <c r="S65" i="1"/>
  <c r="S66" i="1" s="1"/>
  <c r="L65" i="1"/>
  <c r="L66" i="1" s="1"/>
  <c r="G65" i="1"/>
  <c r="G66" i="1" s="1"/>
  <c r="R64" i="1"/>
  <c r="Q64" i="1"/>
  <c r="P64" i="1"/>
  <c r="K64" i="1"/>
  <c r="J64" i="1"/>
  <c r="I64" i="1"/>
  <c r="H64" i="1"/>
  <c r="V63" i="1"/>
  <c r="U63" i="1"/>
  <c r="S63" i="1"/>
  <c r="T63" i="1" s="1"/>
  <c r="L63" i="1"/>
  <c r="G63" i="1"/>
  <c r="V62" i="1"/>
  <c r="U62" i="1"/>
  <c r="S62" i="1"/>
  <c r="T62" i="1" s="1"/>
  <c r="L62" i="1"/>
  <c r="M62" i="1" s="1"/>
  <c r="G62" i="1"/>
  <c r="V61" i="1"/>
  <c r="U61" i="1"/>
  <c r="S61" i="1"/>
  <c r="T61" i="1" s="1"/>
  <c r="L61" i="1"/>
  <c r="G61" i="1"/>
  <c r="V60" i="1"/>
  <c r="U60" i="1"/>
  <c r="S60" i="1"/>
  <c r="T60" i="1" s="1"/>
  <c r="L60" i="1"/>
  <c r="M60" i="1" s="1"/>
  <c r="G60" i="1"/>
  <c r="V59" i="1"/>
  <c r="U59" i="1"/>
  <c r="S59" i="1"/>
  <c r="T59" i="1" s="1"/>
  <c r="L59" i="1"/>
  <c r="M59" i="1" s="1"/>
  <c r="G59" i="1"/>
  <c r="R58" i="1"/>
  <c r="Q58" i="1"/>
  <c r="P58" i="1"/>
  <c r="K58" i="1"/>
  <c r="J58" i="1"/>
  <c r="I58" i="1"/>
  <c r="H58" i="1"/>
  <c r="V57" i="1"/>
  <c r="U57" i="1"/>
  <c r="S57" i="1"/>
  <c r="T57" i="1" s="1"/>
  <c r="L57" i="1"/>
  <c r="M57" i="1" s="1"/>
  <c r="G57" i="1"/>
  <c r="V56" i="1"/>
  <c r="U56" i="1"/>
  <c r="S56" i="1"/>
  <c r="T56" i="1" s="1"/>
  <c r="L56" i="1"/>
  <c r="M56" i="1" s="1"/>
  <c r="G56" i="1"/>
  <c r="V55" i="1"/>
  <c r="U55" i="1"/>
  <c r="S55" i="1"/>
  <c r="T55" i="1" s="1"/>
  <c r="L55" i="1"/>
  <c r="M55" i="1" s="1"/>
  <c r="G55" i="1"/>
  <c r="N55" i="1" s="1"/>
  <c r="V54" i="1"/>
  <c r="U54" i="1"/>
  <c r="S54" i="1"/>
  <c r="T54" i="1" s="1"/>
  <c r="L54" i="1"/>
  <c r="M54" i="1" s="1"/>
  <c r="G54" i="1"/>
  <c r="V53" i="1"/>
  <c r="U53" i="1"/>
  <c r="S53" i="1"/>
  <c r="L53" i="1"/>
  <c r="M53" i="1" s="1"/>
  <c r="G53" i="1"/>
  <c r="R52" i="1"/>
  <c r="Q52" i="1"/>
  <c r="P52" i="1"/>
  <c r="K52" i="1"/>
  <c r="J52" i="1"/>
  <c r="I52" i="1"/>
  <c r="H52" i="1"/>
  <c r="V51" i="1"/>
  <c r="U51" i="1"/>
  <c r="S51" i="1"/>
  <c r="T51" i="1" s="1"/>
  <c r="L51" i="1"/>
  <c r="M51" i="1" s="1"/>
  <c r="G51" i="1"/>
  <c r="V50" i="1"/>
  <c r="U50" i="1"/>
  <c r="S50" i="1"/>
  <c r="L50" i="1"/>
  <c r="G50" i="1"/>
  <c r="V49" i="1"/>
  <c r="U49" i="1"/>
  <c r="S49" i="1"/>
  <c r="T49" i="1" s="1"/>
  <c r="L49" i="1"/>
  <c r="M49" i="1" s="1"/>
  <c r="G49" i="1"/>
  <c r="V48" i="1"/>
  <c r="U48" i="1"/>
  <c r="S48" i="1"/>
  <c r="T48" i="1" s="1"/>
  <c r="L48" i="1"/>
  <c r="M48" i="1" s="1"/>
  <c r="G48" i="1"/>
  <c r="V47" i="1"/>
  <c r="U47" i="1"/>
  <c r="S47" i="1"/>
  <c r="L47" i="1"/>
  <c r="G47" i="1"/>
  <c r="R39" i="1"/>
  <c r="Q39" i="1"/>
  <c r="P39" i="1"/>
  <c r="K39" i="1"/>
  <c r="J39" i="1"/>
  <c r="I39" i="1"/>
  <c r="H39" i="1"/>
  <c r="V38" i="1"/>
  <c r="U38" i="1"/>
  <c r="S38" i="1"/>
  <c r="T38" i="1" s="1"/>
  <c r="L38" i="1"/>
  <c r="M38" i="1" s="1"/>
  <c r="G38" i="1"/>
  <c r="N38" i="1" s="1"/>
  <c r="V37" i="1"/>
  <c r="U37" i="1"/>
  <c r="S37" i="1"/>
  <c r="T37" i="1" s="1"/>
  <c r="L37" i="1"/>
  <c r="M37" i="1" s="1"/>
  <c r="G37" i="1"/>
  <c r="V36" i="1"/>
  <c r="U36" i="1"/>
  <c r="S36" i="1"/>
  <c r="T36" i="1" s="1"/>
  <c r="L36" i="1"/>
  <c r="G36" i="1"/>
  <c r="R35" i="1"/>
  <c r="Q35" i="1"/>
  <c r="P35" i="1"/>
  <c r="K35" i="1"/>
  <c r="J35" i="1"/>
  <c r="I35" i="1"/>
  <c r="H35" i="1"/>
  <c r="V34" i="1"/>
  <c r="U34" i="1"/>
  <c r="S34" i="1"/>
  <c r="T34" i="1" s="1"/>
  <c r="L34" i="1"/>
  <c r="M34" i="1" s="1"/>
  <c r="G34" i="1"/>
  <c r="V33" i="1"/>
  <c r="U33" i="1"/>
  <c r="S33" i="1"/>
  <c r="T33" i="1" s="1"/>
  <c r="L33" i="1"/>
  <c r="M33" i="1" s="1"/>
  <c r="G33" i="1"/>
  <c r="V32" i="1"/>
  <c r="U32" i="1"/>
  <c r="S32" i="1"/>
  <c r="T32" i="1" s="1"/>
  <c r="L32" i="1"/>
  <c r="M32" i="1" s="1"/>
  <c r="G32" i="1"/>
  <c r="N32" i="1" s="1"/>
  <c r="W32" i="1" s="1"/>
  <c r="V31" i="1"/>
  <c r="U31" i="1"/>
  <c r="S31" i="1"/>
  <c r="T31" i="1" s="1"/>
  <c r="L31" i="1"/>
  <c r="M31" i="1" s="1"/>
  <c r="G31" i="1"/>
  <c r="R30" i="1"/>
  <c r="Q30" i="1"/>
  <c r="P30" i="1"/>
  <c r="K30" i="1"/>
  <c r="J30" i="1"/>
  <c r="I30" i="1"/>
  <c r="H30" i="1"/>
  <c r="V29" i="1"/>
  <c r="U29" i="1"/>
  <c r="S29" i="1"/>
  <c r="T29" i="1" s="1"/>
  <c r="L29" i="1"/>
  <c r="M29" i="1" s="1"/>
  <c r="G29" i="1"/>
  <c r="V28" i="1"/>
  <c r="U28" i="1"/>
  <c r="S28" i="1"/>
  <c r="L28" i="1"/>
  <c r="M28" i="1" s="1"/>
  <c r="G28" i="1"/>
  <c r="R27" i="1"/>
  <c r="Q27" i="1"/>
  <c r="P27" i="1"/>
  <c r="K27" i="1"/>
  <c r="J27" i="1"/>
  <c r="I27" i="1"/>
  <c r="H27" i="1"/>
  <c r="V26" i="1"/>
  <c r="V27" i="1" s="1"/>
  <c r="U26" i="1"/>
  <c r="U27" i="1" s="1"/>
  <c r="S26" i="1"/>
  <c r="T26" i="1" s="1"/>
  <c r="T27" i="1" s="1"/>
  <c r="L26" i="1"/>
  <c r="G26" i="1"/>
  <c r="G27" i="1" s="1"/>
  <c r="R25" i="1"/>
  <c r="Q25" i="1"/>
  <c r="P25" i="1"/>
  <c r="K25" i="1"/>
  <c r="J25" i="1"/>
  <c r="I25" i="1"/>
  <c r="H25" i="1"/>
  <c r="V24" i="1"/>
  <c r="U24" i="1"/>
  <c r="S24" i="1"/>
  <c r="T24" i="1" s="1"/>
  <c r="L24" i="1"/>
  <c r="M24" i="1" s="1"/>
  <c r="G24" i="1"/>
  <c r="V23" i="1"/>
  <c r="U23" i="1"/>
  <c r="S23" i="1"/>
  <c r="L23" i="1"/>
  <c r="M23" i="1" s="1"/>
  <c r="G23" i="1"/>
  <c r="N23" i="1" s="1"/>
  <c r="R22" i="1"/>
  <c r="Q22" i="1"/>
  <c r="P22" i="1"/>
  <c r="K22" i="1"/>
  <c r="J22" i="1"/>
  <c r="I22" i="1"/>
  <c r="H22" i="1"/>
  <c r="V21" i="1"/>
  <c r="U21" i="1"/>
  <c r="S21" i="1"/>
  <c r="L21" i="1"/>
  <c r="M21" i="1" s="1"/>
  <c r="G21" i="1"/>
  <c r="N21" i="1" s="1"/>
  <c r="O21" i="1" s="1"/>
  <c r="V20" i="1"/>
  <c r="U20" i="1"/>
  <c r="S20" i="1"/>
  <c r="T20" i="1" s="1"/>
  <c r="L20" i="1"/>
  <c r="M20" i="1" s="1"/>
  <c r="G20" i="1"/>
  <c r="R19" i="1"/>
  <c r="Q19" i="1"/>
  <c r="P19" i="1"/>
  <c r="K19" i="1"/>
  <c r="J19" i="1"/>
  <c r="I19" i="1"/>
  <c r="H19" i="1"/>
  <c r="V18" i="1"/>
  <c r="U18" i="1"/>
  <c r="S18" i="1"/>
  <c r="T18" i="1" s="1"/>
  <c r="L18" i="1"/>
  <c r="M18" i="1" s="1"/>
  <c r="G18" i="1"/>
  <c r="N18" i="1" s="1"/>
  <c r="O18" i="1" s="1"/>
  <c r="V17" i="1"/>
  <c r="U17" i="1"/>
  <c r="S17" i="1"/>
  <c r="T17" i="1" s="1"/>
  <c r="L17" i="1"/>
  <c r="M17" i="1" s="1"/>
  <c r="G17" i="1"/>
  <c r="V16" i="1"/>
  <c r="U16" i="1"/>
  <c r="S16" i="1"/>
  <c r="T16" i="1" s="1"/>
  <c r="L16" i="1"/>
  <c r="M16" i="1" s="1"/>
  <c r="G16" i="1"/>
  <c r="V15" i="1"/>
  <c r="U15" i="1"/>
  <c r="S15" i="1"/>
  <c r="T15" i="1" s="1"/>
  <c r="L15" i="1"/>
  <c r="M15" i="1" s="1"/>
  <c r="G15" i="1"/>
  <c r="V14" i="1"/>
  <c r="U14" i="1"/>
  <c r="S14" i="1"/>
  <c r="L14" i="1"/>
  <c r="M14" i="1" s="1"/>
  <c r="G14" i="1"/>
  <c r="N14" i="1" s="1"/>
  <c r="R13" i="1"/>
  <c r="Q13" i="1"/>
  <c r="P13" i="1"/>
  <c r="K13" i="1"/>
  <c r="J13" i="1"/>
  <c r="I13" i="1"/>
  <c r="H13" i="1"/>
  <c r="V12" i="1"/>
  <c r="U12" i="1"/>
  <c r="S12" i="1"/>
  <c r="T12" i="1" s="1"/>
  <c r="L12" i="1"/>
  <c r="M12" i="1" s="1"/>
  <c r="G12" i="1"/>
  <c r="N12" i="1" s="1"/>
  <c r="O12" i="1" s="1"/>
  <c r="V11" i="1"/>
  <c r="U11" i="1"/>
  <c r="S11" i="1"/>
  <c r="L11" i="1"/>
  <c r="M11" i="1" s="1"/>
  <c r="G11" i="1"/>
  <c r="R10" i="1"/>
  <c r="Q10" i="1"/>
  <c r="P10" i="1"/>
  <c r="K10" i="1"/>
  <c r="J10" i="1"/>
  <c r="I10" i="1"/>
  <c r="H10" i="1"/>
  <c r="V9" i="1"/>
  <c r="U9" i="1"/>
  <c r="S9" i="1"/>
  <c r="T9" i="1" s="1"/>
  <c r="L9" i="1"/>
  <c r="M9" i="1" s="1"/>
  <c r="G9" i="1"/>
  <c r="V8" i="1"/>
  <c r="U8" i="1"/>
  <c r="S8" i="1"/>
  <c r="T8" i="1" s="1"/>
  <c r="L8" i="1"/>
  <c r="M8" i="1" s="1"/>
  <c r="G8" i="1"/>
  <c r="V7" i="1"/>
  <c r="U7" i="1"/>
  <c r="S7" i="1"/>
  <c r="L7" i="1"/>
  <c r="G7" i="1"/>
  <c r="V6" i="1"/>
  <c r="U6" i="1"/>
  <c r="S6" i="1"/>
  <c r="T6" i="1" s="1"/>
  <c r="L6" i="1"/>
  <c r="G6" i="1"/>
  <c r="N60" i="1" l="1"/>
  <c r="O60" i="1" s="1"/>
  <c r="N88" i="1"/>
  <c r="W88" i="1" s="1"/>
  <c r="N56" i="1"/>
  <c r="N69" i="1"/>
  <c r="O69" i="1" s="1"/>
  <c r="N79" i="1"/>
  <c r="N74" i="1"/>
  <c r="N78" i="1"/>
  <c r="W78" i="1" s="1"/>
  <c r="V94" i="1"/>
  <c r="U30" i="1"/>
  <c r="N29" i="1"/>
  <c r="O29" i="1" s="1"/>
  <c r="N34" i="1"/>
  <c r="S30" i="1"/>
  <c r="N50" i="1"/>
  <c r="O50" i="1" s="1"/>
  <c r="N26" i="1"/>
  <c r="O26" i="1" s="1"/>
  <c r="O27" i="1" s="1"/>
  <c r="N36" i="1"/>
  <c r="O36" i="1" s="1"/>
  <c r="U39" i="1"/>
  <c r="N68" i="1"/>
  <c r="O68" i="1" s="1"/>
  <c r="W21" i="1"/>
  <c r="G72" i="1"/>
  <c r="S72" i="1"/>
  <c r="V75" i="1"/>
  <c r="S13" i="1"/>
  <c r="N63" i="1"/>
  <c r="O63" i="1" s="1"/>
  <c r="N70" i="1"/>
  <c r="O70" i="1" s="1"/>
  <c r="M22" i="1"/>
  <c r="U25" i="1"/>
  <c r="L52" i="1"/>
  <c r="G90" i="1"/>
  <c r="V13" i="1"/>
  <c r="N15" i="1"/>
  <c r="W15" i="1" s="1"/>
  <c r="U22" i="1"/>
  <c r="G35" i="1"/>
  <c r="N53" i="1"/>
  <c r="O53" i="1" s="1"/>
  <c r="U86" i="1"/>
  <c r="L90" i="1"/>
  <c r="G19" i="1"/>
  <c r="T11" i="1"/>
  <c r="T13" i="1" s="1"/>
  <c r="W74" i="1"/>
  <c r="N17" i="1"/>
  <c r="O17" i="1" s="1"/>
  <c r="N37" i="1"/>
  <c r="N51" i="1"/>
  <c r="W51" i="1" s="1"/>
  <c r="S77" i="1"/>
  <c r="N82" i="1"/>
  <c r="O82" i="1" s="1"/>
  <c r="N85" i="1"/>
  <c r="W85" i="1" s="1"/>
  <c r="V90" i="1"/>
  <c r="W56" i="1"/>
  <c r="O56" i="1"/>
  <c r="W38" i="1"/>
  <c r="O38" i="1"/>
  <c r="W71" i="1"/>
  <c r="O71" i="1"/>
  <c r="M86" i="1"/>
  <c r="R40" i="1"/>
  <c r="T21" i="1"/>
  <c r="T22" i="1" s="1"/>
  <c r="O32" i="1"/>
  <c r="O78" i="1"/>
  <c r="N7" i="1"/>
  <c r="U19" i="1"/>
  <c r="J40" i="1"/>
  <c r="G30" i="1"/>
  <c r="L30" i="1"/>
  <c r="S35" i="1"/>
  <c r="I95" i="1"/>
  <c r="V64" i="1"/>
  <c r="K95" i="1"/>
  <c r="T68" i="1"/>
  <c r="T72" i="1" s="1"/>
  <c r="G75" i="1"/>
  <c r="M87" i="1"/>
  <c r="M90" i="1" s="1"/>
  <c r="H40" i="1"/>
  <c r="V25" i="1"/>
  <c r="K40" i="1"/>
  <c r="M30" i="1"/>
  <c r="G39" i="1"/>
  <c r="M47" i="1"/>
  <c r="N59" i="1"/>
  <c r="T65" i="1"/>
  <c r="T66" i="1" s="1"/>
  <c r="N84" i="1"/>
  <c r="N92" i="1"/>
  <c r="O92" i="1" s="1"/>
  <c r="L94" i="1"/>
  <c r="U75" i="1"/>
  <c r="H95" i="1"/>
  <c r="U10" i="1"/>
  <c r="S22" i="1"/>
  <c r="G94" i="1"/>
  <c r="N9" i="1"/>
  <c r="O9" i="1" s="1"/>
  <c r="N16" i="1"/>
  <c r="O16" i="1" s="1"/>
  <c r="T28" i="1"/>
  <c r="T30" i="1" s="1"/>
  <c r="V35" i="1"/>
  <c r="M36" i="1"/>
  <c r="M39" i="1" s="1"/>
  <c r="L39" i="1"/>
  <c r="N49" i="1"/>
  <c r="W49" i="1" s="1"/>
  <c r="V58" i="1"/>
  <c r="U72" i="1"/>
  <c r="N73" i="1"/>
  <c r="W73" i="1" s="1"/>
  <c r="W75" i="1" s="1"/>
  <c r="N76" i="1"/>
  <c r="N77" i="1" s="1"/>
  <c r="L72" i="1"/>
  <c r="U52" i="1"/>
  <c r="N61" i="1"/>
  <c r="O61" i="1" s="1"/>
  <c r="V10" i="1"/>
  <c r="U35" i="1"/>
  <c r="P95" i="1"/>
  <c r="U94" i="1"/>
  <c r="V39" i="1"/>
  <c r="N65" i="1"/>
  <c r="N66" i="1" s="1"/>
  <c r="U58" i="1"/>
  <c r="U90" i="1"/>
  <c r="W18" i="1"/>
  <c r="W50" i="1"/>
  <c r="L58" i="1"/>
  <c r="T64" i="1"/>
  <c r="V72" i="1"/>
  <c r="L77" i="1"/>
  <c r="N8" i="1"/>
  <c r="W8" i="1" s="1"/>
  <c r="U13" i="1"/>
  <c r="S27" i="1"/>
  <c r="V30" i="1"/>
  <c r="N48" i="1"/>
  <c r="O48" i="1" s="1"/>
  <c r="T50" i="1"/>
  <c r="Q95" i="1"/>
  <c r="N54" i="1"/>
  <c r="W54" i="1" s="1"/>
  <c r="S75" i="1"/>
  <c r="L75" i="1"/>
  <c r="W79" i="1"/>
  <c r="O79" i="1"/>
  <c r="O89" i="1"/>
  <c r="W89" i="1"/>
  <c r="W29" i="1"/>
  <c r="T39" i="1"/>
  <c r="W81" i="1"/>
  <c r="O81" i="1"/>
  <c r="T14" i="1"/>
  <c r="T19" i="1" s="1"/>
  <c r="S19" i="1"/>
  <c r="M6" i="1"/>
  <c r="L10" i="1"/>
  <c r="N24" i="1"/>
  <c r="J95" i="1"/>
  <c r="O74" i="1"/>
  <c r="M19" i="1"/>
  <c r="W55" i="1"/>
  <c r="O55" i="1"/>
  <c r="T93" i="1"/>
  <c r="T94" i="1" s="1"/>
  <c r="W93" i="1"/>
  <c r="G13" i="1"/>
  <c r="N11" i="1"/>
  <c r="O14" i="1"/>
  <c r="W14" i="1"/>
  <c r="S86" i="1"/>
  <c r="T78" i="1"/>
  <c r="T86" i="1" s="1"/>
  <c r="M13" i="1"/>
  <c r="L25" i="1"/>
  <c r="T35" i="1"/>
  <c r="G22" i="1"/>
  <c r="N20" i="1"/>
  <c r="L13" i="1"/>
  <c r="N27" i="1"/>
  <c r="S39" i="1"/>
  <c r="N6" i="1"/>
  <c r="M7" i="1"/>
  <c r="M25" i="1"/>
  <c r="M58" i="1"/>
  <c r="T73" i="1"/>
  <c r="T75" i="1" s="1"/>
  <c r="N80" i="1"/>
  <c r="G86" i="1"/>
  <c r="W82" i="1"/>
  <c r="L86" i="1"/>
  <c r="P40" i="1"/>
  <c r="W12" i="1"/>
  <c r="L22" i="1"/>
  <c r="O23" i="1"/>
  <c r="N25" i="1"/>
  <c r="W23" i="1"/>
  <c r="V52" i="1"/>
  <c r="M61" i="1"/>
  <c r="W34" i="1"/>
  <c r="O34" i="1"/>
  <c r="V19" i="1"/>
  <c r="M35" i="1"/>
  <c r="N62" i="1"/>
  <c r="G64" i="1"/>
  <c r="V22" i="1"/>
  <c r="G10" i="1"/>
  <c r="T23" i="1"/>
  <c r="T25" i="1" s="1"/>
  <c r="S25" i="1"/>
  <c r="T90" i="1"/>
  <c r="L35" i="1"/>
  <c r="M65" i="1"/>
  <c r="M66" i="1" s="1"/>
  <c r="I40" i="1"/>
  <c r="U64" i="1"/>
  <c r="N67" i="1"/>
  <c r="V86" i="1"/>
  <c r="N83" i="1"/>
  <c r="N91" i="1"/>
  <c r="T7" i="1"/>
  <c r="T10" i="1" s="1"/>
  <c r="S10" i="1"/>
  <c r="N31" i="1"/>
  <c r="N47" i="1"/>
  <c r="G52" i="1"/>
  <c r="S64" i="1"/>
  <c r="M68" i="1"/>
  <c r="M72" i="1" s="1"/>
  <c r="M75" i="1"/>
  <c r="N87" i="1"/>
  <c r="M92" i="1"/>
  <c r="M94" i="1" s="1"/>
  <c r="Q40" i="1"/>
  <c r="M63" i="1"/>
  <c r="G25" i="1"/>
  <c r="N28" i="1"/>
  <c r="N33" i="1"/>
  <c r="M50" i="1"/>
  <c r="N57" i="1"/>
  <c r="G58" i="1"/>
  <c r="S90" i="1"/>
  <c r="S94" i="1"/>
  <c r="L19" i="1"/>
  <c r="L27" i="1"/>
  <c r="M26" i="1"/>
  <c r="M27" i="1" s="1"/>
  <c r="S52" i="1"/>
  <c r="T47" i="1"/>
  <c r="R95" i="1"/>
  <c r="S58" i="1"/>
  <c r="T53" i="1"/>
  <c r="T58" i="1" s="1"/>
  <c r="L64" i="1"/>
  <c r="W69" i="1"/>
  <c r="O88" i="1" l="1"/>
  <c r="O76" i="1"/>
  <c r="O77" i="1" s="1"/>
  <c r="N75" i="1"/>
  <c r="W60" i="1"/>
  <c r="W76" i="1"/>
  <c r="W77" i="1" s="1"/>
  <c r="O73" i="1"/>
  <c r="W70" i="1"/>
  <c r="W63" i="1"/>
  <c r="W48" i="1"/>
  <c r="O85" i="1"/>
  <c r="W26" i="1"/>
  <c r="W27" i="1" s="1"/>
  <c r="O15" i="1"/>
  <c r="O19" i="1" s="1"/>
  <c r="N39" i="1"/>
  <c r="W37" i="1"/>
  <c r="O37" i="1"/>
  <c r="W17" i="1"/>
  <c r="W36" i="1"/>
  <c r="W53" i="1"/>
  <c r="W68" i="1"/>
  <c r="O54" i="1"/>
  <c r="M52" i="1"/>
  <c r="O75" i="1"/>
  <c r="O8" i="1"/>
  <c r="W61" i="1"/>
  <c r="O49" i="1"/>
  <c r="G40" i="1"/>
  <c r="W39" i="1"/>
  <c r="N58" i="1"/>
  <c r="O51" i="1"/>
  <c r="U95" i="1"/>
  <c r="M64" i="1"/>
  <c r="M95" i="1" s="1"/>
  <c r="O39" i="1"/>
  <c r="L95" i="1"/>
  <c r="G95" i="1"/>
  <c r="W65" i="1"/>
  <c r="W66" i="1" s="1"/>
  <c r="N19" i="1"/>
  <c r="W9" i="1"/>
  <c r="S95" i="1"/>
  <c r="S40" i="1"/>
  <c r="O65" i="1"/>
  <c r="O66" i="1" s="1"/>
  <c r="V95" i="1"/>
  <c r="W92" i="1"/>
  <c r="O84" i="1"/>
  <c r="W84" i="1"/>
  <c r="U40" i="1"/>
  <c r="W59" i="1"/>
  <c r="O59" i="1"/>
  <c r="W16" i="1"/>
  <c r="W19" i="1" s="1"/>
  <c r="O7" i="1"/>
  <c r="W7" i="1"/>
  <c r="T40" i="1"/>
  <c r="V40" i="1"/>
  <c r="L40" i="1"/>
  <c r="W6" i="1"/>
  <c r="O6" i="1"/>
  <c r="N10" i="1"/>
  <c r="M10" i="1"/>
  <c r="M40" i="1" s="1"/>
  <c r="O28" i="1"/>
  <c r="O30" i="1" s="1"/>
  <c r="W28" i="1"/>
  <c r="W30" i="1" s="1"/>
  <c r="N30" i="1"/>
  <c r="O83" i="1"/>
  <c r="W83" i="1"/>
  <c r="T52" i="1"/>
  <c r="T95" i="1" s="1"/>
  <c r="N52" i="1"/>
  <c r="W47" i="1"/>
  <c r="O47" i="1"/>
  <c r="W80" i="1"/>
  <c r="O80" i="1"/>
  <c r="N35" i="1"/>
  <c r="W31" i="1"/>
  <c r="O31" i="1"/>
  <c r="O67" i="1"/>
  <c r="O72" i="1" s="1"/>
  <c r="N72" i="1"/>
  <c r="W67" i="1"/>
  <c r="W33" i="1"/>
  <c r="O33" i="1"/>
  <c r="O91" i="1"/>
  <c r="O94" i="1" s="1"/>
  <c r="N94" i="1"/>
  <c r="W91" i="1"/>
  <c r="W11" i="1"/>
  <c r="W13" i="1" s="1"/>
  <c r="O11" i="1"/>
  <c r="O13" i="1" s="1"/>
  <c r="N13" i="1"/>
  <c r="W20" i="1"/>
  <c r="W22" i="1" s="1"/>
  <c r="O20" i="1"/>
  <c r="O22" i="1" s="1"/>
  <c r="N22" i="1"/>
  <c r="W24" i="1"/>
  <c r="W25" i="1" s="1"/>
  <c r="O24" i="1"/>
  <c r="O25" i="1"/>
  <c r="O62" i="1"/>
  <c r="W62" i="1"/>
  <c r="N64" i="1"/>
  <c r="N86" i="1"/>
  <c r="W87" i="1"/>
  <c r="W90" i="1" s="1"/>
  <c r="O87" i="1"/>
  <c r="O90" i="1" s="1"/>
  <c r="N90" i="1"/>
  <c r="W57" i="1"/>
  <c r="O57" i="1"/>
  <c r="W72" i="1" l="1"/>
  <c r="W94" i="1"/>
  <c r="W58" i="1"/>
  <c r="O35" i="1"/>
  <c r="W64" i="1"/>
  <c r="O58" i="1"/>
  <c r="O64" i="1"/>
  <c r="O86" i="1"/>
  <c r="N95" i="1"/>
  <c r="N40" i="1"/>
  <c r="W86" i="1"/>
  <c r="W52" i="1"/>
  <c r="W10" i="1"/>
  <c r="W35" i="1"/>
  <c r="O10" i="1"/>
  <c r="O40" i="1" s="1"/>
  <c r="O52" i="1"/>
  <c r="W40" i="1" l="1"/>
  <c r="O95" i="1"/>
  <c r="W95" i="1"/>
</calcChain>
</file>

<file path=xl/sharedStrings.xml><?xml version="1.0" encoding="utf-8"?>
<sst xmlns="http://schemas.openxmlformats.org/spreadsheetml/2006/main" count="325" uniqueCount="173">
  <si>
    <t>Lease Renewals</t>
  </si>
  <si>
    <t>Resident Name</t>
  </si>
  <si>
    <t>Unit Type</t>
  </si>
  <si>
    <t>Sqft</t>
  </si>
  <si>
    <t>Unit</t>
  </si>
  <si>
    <t>Renewal Start</t>
  </si>
  <si>
    <t>Lease Term</t>
  </si>
  <si>
    <t>Market Rent</t>
  </si>
  <si>
    <t>Lease Rent</t>
  </si>
  <si>
    <t>Up-Front Concessions</t>
  </si>
  <si>
    <t>Total Recurring Concessions</t>
  </si>
  <si>
    <t>Total Concessions</t>
  </si>
  <si>
    <t># Months Free</t>
  </si>
  <si>
    <t>Effective Rent</t>
  </si>
  <si>
    <t>EFF Rent PSF</t>
  </si>
  <si>
    <t>Eff Rent PSF</t>
  </si>
  <si>
    <t>Rent Change</t>
  </si>
  <si>
    <t>% Change</t>
  </si>
  <si>
    <t>Eff Rent % Change</t>
  </si>
  <si>
    <t>New Lease Term</t>
  </si>
  <si>
    <t>Previous Lease Term</t>
  </si>
  <si>
    <t>William Cortez</t>
  </si>
  <si>
    <t>4735C222</t>
  </si>
  <si>
    <t>Eric Trevino</t>
  </si>
  <si>
    <t>4775A207</t>
  </si>
  <si>
    <t xml:space="preserve">Averages for BWK.A1  </t>
  </si>
  <si>
    <t xml:space="preserve">BWK.A2  </t>
  </si>
  <si>
    <t>Dana Marchman</t>
  </si>
  <si>
    <t>Leases Expiring between 2026-04-01 and 2026-06-30</t>
  </si>
  <si>
    <t>Martha Vazquez Cervantes</t>
  </si>
  <si>
    <t>4655J265</t>
  </si>
  <si>
    <t>4665K170</t>
  </si>
  <si>
    <t>Montra Williams</t>
  </si>
  <si>
    <t>Taylin Campbell</t>
  </si>
  <si>
    <t>4705L280</t>
  </si>
  <si>
    <t>4705L273</t>
  </si>
  <si>
    <t>4654L166</t>
  </si>
  <si>
    <t>Jeanna Thiel</t>
  </si>
  <si>
    <t>4658M172</t>
  </si>
  <si>
    <t>4675E233</t>
  </si>
  <si>
    <t>Carolynn Jones</t>
  </si>
  <si>
    <t xml:space="preserve">BWK.B1  </t>
  </si>
  <si>
    <t>The Boardwalk</t>
  </si>
  <si>
    <t>4715D128</t>
  </si>
  <si>
    <t>Nicole Hill</t>
  </si>
  <si>
    <t>Justin Fiore</t>
  </si>
  <si>
    <t xml:space="preserve">BWK.A1  </t>
  </si>
  <si>
    <t>4635I258</t>
  </si>
  <si>
    <t>4715D125</t>
  </si>
  <si>
    <t>Shayne Small</t>
  </si>
  <si>
    <t>Jessena Wright</t>
  </si>
  <si>
    <t xml:space="preserve">BWK.B0  </t>
  </si>
  <si>
    <t>Brianna Pileeki</t>
  </si>
  <si>
    <t>4755B112</t>
  </si>
  <si>
    <t>Dondre Phillips-Ingraham</t>
  </si>
  <si>
    <t>4755B110</t>
  </si>
  <si>
    <t>Marissa Flematti</t>
  </si>
  <si>
    <t xml:space="preserve">Averages for BWK.B0  </t>
  </si>
  <si>
    <t>Beverly Mathias</t>
  </si>
  <si>
    <t>Lease Start</t>
  </si>
  <si>
    <t>Move Ins</t>
  </si>
  <si>
    <t>4622B206</t>
  </si>
  <si>
    <t>Francisco Padilla</t>
  </si>
  <si>
    <t>4632F124</t>
  </si>
  <si>
    <t>Rosita Soto</t>
  </si>
  <si>
    <t xml:space="preserve">BWK.C1  </t>
  </si>
  <si>
    <t>4645F240</t>
  </si>
  <si>
    <t xml:space="preserve">Averages for BWK.C1  </t>
  </si>
  <si>
    <t>Izana St Marc</t>
  </si>
  <si>
    <t>4640H246</t>
  </si>
  <si>
    <t xml:space="preserve">Averages for BWK.C2  </t>
  </si>
  <si>
    <t>Stephen Nigro</t>
  </si>
  <si>
    <t xml:space="preserve">BWK.C2  </t>
  </si>
  <si>
    <t>4636G133</t>
  </si>
  <si>
    <t>Rodis Martel</t>
  </si>
  <si>
    <t xml:space="preserve">Averages for BWK.B2  </t>
  </si>
  <si>
    <t xml:space="preserve">BWK.B2  </t>
  </si>
  <si>
    <t xml:space="preserve">Averages for BWK.B1  </t>
  </si>
  <si>
    <t>Demarcus Abrams</t>
  </si>
  <si>
    <t xml:space="preserve">Averages for BWK.A2  </t>
  </si>
  <si>
    <t>4675E234</t>
  </si>
  <si>
    <t xml:space="preserve">BWK.S1  </t>
  </si>
  <si>
    <t>4640H240</t>
  </si>
  <si>
    <t>Andres Perez</t>
  </si>
  <si>
    <t>4654L265</t>
  </si>
  <si>
    <t>Richard Stabile</t>
  </si>
  <si>
    <t>4662N183</t>
  </si>
  <si>
    <t>Margaret Gonzalez</t>
  </si>
  <si>
    <t>4662N280</t>
  </si>
  <si>
    <t xml:space="preserve">Averages for BWK.S1  </t>
  </si>
  <si>
    <t>Sherry Roberts</t>
  </si>
  <si>
    <t xml:space="preserve">BWK.S2  </t>
  </si>
  <si>
    <t>4715D126</t>
  </si>
  <si>
    <t>Robert Koenigs</t>
  </si>
  <si>
    <t>4755B111</t>
  </si>
  <si>
    <t>Jake Robson</t>
  </si>
  <si>
    <t>4775A205</t>
  </si>
  <si>
    <t xml:space="preserve">Averages for BWK.S2  </t>
  </si>
  <si>
    <t>Averages for The Boardwalk</t>
  </si>
  <si>
    <t>Move In between 2026-04-01 and 2026-06-30</t>
  </si>
  <si>
    <t>Olga Jasinska</t>
  </si>
  <si>
    <t>4715D130</t>
  </si>
  <si>
    <t>4755B213</t>
  </si>
  <si>
    <t>Ronald Fernandez Lay</t>
  </si>
  <si>
    <t>4775A103</t>
  </si>
  <si>
    <t>Abby Lyman</t>
  </si>
  <si>
    <t>4654L164</t>
  </si>
  <si>
    <t>Laci Wilkinson</t>
  </si>
  <si>
    <t>4654L266</t>
  </si>
  <si>
    <t>Murad Yunusov</t>
  </si>
  <si>
    <t>4654L269</t>
  </si>
  <si>
    <t>Matheus Fiuza</t>
  </si>
  <si>
    <t>4666O187</t>
  </si>
  <si>
    <t>David Westberry</t>
  </si>
  <si>
    <t>4666O287</t>
  </si>
  <si>
    <t>Josiah Bravo-Vasquez</t>
  </si>
  <si>
    <t>4635I255</t>
  </si>
  <si>
    <t>Annie Stones</t>
  </si>
  <si>
    <t>4635I260</t>
  </si>
  <si>
    <t>Contina Brand</t>
  </si>
  <si>
    <t>4655J261</t>
  </si>
  <si>
    <t>Vivian Corrales</t>
  </si>
  <si>
    <t>4665K168</t>
  </si>
  <si>
    <t>Asiah Brazil-Geyshick</t>
  </si>
  <si>
    <t>4665K268</t>
  </si>
  <si>
    <t>Sharmaine Brown</t>
  </si>
  <si>
    <t>4675E138</t>
  </si>
  <si>
    <t>Grace Brown</t>
  </si>
  <si>
    <t>4622B105</t>
  </si>
  <si>
    <t>Jeremya Summers</t>
  </si>
  <si>
    <t>4622B107</t>
  </si>
  <si>
    <t>Maria Torres Bauza</t>
  </si>
  <si>
    <t>4622B208</t>
  </si>
  <si>
    <t>Joseph Yurkewitch</t>
  </si>
  <si>
    <t>4628E121</t>
  </si>
  <si>
    <t>Audra Niles</t>
  </si>
  <si>
    <t>4632F125</t>
  </si>
  <si>
    <t>Janette Talluto</t>
  </si>
  <si>
    <t xml:space="preserve">BWK.B3  </t>
  </si>
  <si>
    <t>4626D216</t>
  </si>
  <si>
    <t>Jasmine Munoz</t>
  </si>
  <si>
    <t>4644I153</t>
  </si>
  <si>
    <t xml:space="preserve">Averages for BWK.B3  </t>
  </si>
  <si>
    <t>Adrian Luna</t>
  </si>
  <si>
    <t>4645F142</t>
  </si>
  <si>
    <t>Meghan Brinker</t>
  </si>
  <si>
    <t>4636G231</t>
  </si>
  <si>
    <t>Cara-Constancia Hinds</t>
  </si>
  <si>
    <t>4640H138</t>
  </si>
  <si>
    <t>John Parrott</t>
  </si>
  <si>
    <t>4640H235</t>
  </si>
  <si>
    <t>Anthony Santiago</t>
  </si>
  <si>
    <t>4640H245</t>
  </si>
  <si>
    <t>Marcus Stanley</t>
  </si>
  <si>
    <t>4644I149</t>
  </si>
  <si>
    <t>Briyarn Beauflan</t>
  </si>
  <si>
    <t>4644I151</t>
  </si>
  <si>
    <t>Janessa Gonzalez</t>
  </si>
  <si>
    <t>4648J257</t>
  </si>
  <si>
    <t>Valde Valdory</t>
  </si>
  <si>
    <t>4650K263</t>
  </si>
  <si>
    <t>Joshua Dinguis</t>
  </si>
  <si>
    <t>4654L165</t>
  </si>
  <si>
    <t>Gregory Mcmurrin</t>
  </si>
  <si>
    <t>4658M171</t>
  </si>
  <si>
    <t>Moses De La Paz</t>
  </si>
  <si>
    <t>4662N180</t>
  </si>
  <si>
    <t>Mia C Lane</t>
  </si>
  <si>
    <t>4715D226</t>
  </si>
  <si>
    <t>Uttej Kumar Pentapati</t>
  </si>
  <si>
    <t>4735C123</t>
  </si>
  <si>
    <t>Cade Schwegman</t>
  </si>
  <si>
    <t>4755B217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</si>
</sst>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4DDC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14" fontId="0" fillId="0" borderId="0" xfId="0" applyNumberFormat="1"/>
    <xf numFmtId="164" fontId="0" fillId="0" borderId="0" xfId="0" applyNumberFormat="1"/>
    <xf numFmtId="10" fontId="0" fillId="0" borderId="0" xfId="0" applyNumberFormat="1"/>
    <xf numFmtId="9" fontId="0" fillId="0" borderId="0" xfId="0" applyNumberFormat="1"/>
    <xf numFmtId="2" fontId="0" fillId="0" borderId="0" xfId="0" applyNumberFormat="1"/>
    <xf numFmtId="0" fontId="0" fillId="0" borderId="5" xfId="0" applyBorder="1"/>
    <xf numFmtId="164" fontId="0" fillId="0" borderId="5" xfId="0" applyNumberFormat="1" applyBorder="1"/>
    <xf numFmtId="0" fontId="0" fillId="2" borderId="6" xfId="0" applyFill="1" applyBorder="1"/>
    <xf numFmtId="0" fontId="0" fillId="2" borderId="4" xfId="0" applyFill="1" applyBorder="1"/>
    <xf numFmtId="2" fontId="0" fillId="2" borderId="6" xfId="0" applyNumberFormat="1" applyFill="1" applyBorder="1"/>
    <xf numFmtId="164" fontId="0" fillId="2" borderId="6" xfId="0" applyNumberFormat="1" applyFill="1" applyBorder="1"/>
    <xf numFmtId="164" fontId="0" fillId="2" borderId="4" xfId="0" applyNumberFormat="1" applyFill="1" applyBorder="1"/>
    <xf numFmtId="10" fontId="0" fillId="2" borderId="6" xfId="0" applyNumberFormat="1" applyFill="1" applyBorder="1"/>
    <xf numFmtId="1" fontId="0" fillId="2" borderId="6" xfId="0" applyNumberFormat="1" applyFill="1" applyBorder="1"/>
    <xf numFmtId="1" fontId="0" fillId="0" borderId="0" xfId="0" applyNumberFormat="1"/>
    <xf numFmtId="0" fontId="1" fillId="0" borderId="7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2">
    <dxf>
      <font>
        <color theme="0"/>
      </font>
      <fill>
        <patternFill>
          <bgColor rgb="FF2A4B3B"/>
        </patternFill>
      </fill>
    </dxf>
    <dxf>
      <font>
        <color theme="0"/>
      </font>
      <fill>
        <patternFill>
          <bgColor rgb="FF2A4B3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95"/>
  <sheetViews>
    <sheetView tabSelected="1" topLeftCell="B1" workbookViewId="0">
      <selection activeCell="R5" sqref="R5"/>
    </sheetView>
  </sheetViews>
  <sheetFormatPr defaultRowHeight="15" x14ac:dyDescent="0.25"/>
  <cols>
    <col min="1" max="1" width="8" hidden="1" customWidth="1"/>
    <col min="2" max="2" width="25.7109375" customWidth="1"/>
    <col min="4" max="5" width="6.7109375" customWidth="1"/>
    <col min="6" max="6" width="10.7109375" customWidth="1"/>
    <col min="10" max="12" width="11.7109375" customWidth="1"/>
    <col min="17" max="17" width="11.7109375" customWidth="1"/>
    <col min="24" max="24" width="9.140625" customWidth="1"/>
    <col min="27" max="28" width="0" hidden="1" customWidth="1"/>
  </cols>
  <sheetData>
    <row r="1" spans="1:28" ht="21" x14ac:dyDescent="0.35">
      <c r="B1" s="1" t="s">
        <v>0</v>
      </c>
    </row>
    <row r="2" spans="1:28" ht="15.75" x14ac:dyDescent="0.25">
      <c r="B2" s="2" t="s">
        <v>28</v>
      </c>
    </row>
    <row r="3" spans="1:28" x14ac:dyDescent="0.25">
      <c r="G3" s="14"/>
    </row>
    <row r="4" spans="1:28" x14ac:dyDescent="0.25">
      <c r="B4" s="28"/>
      <c r="C4" s="29"/>
      <c r="D4" s="29"/>
      <c r="E4" s="30"/>
      <c r="F4" s="25" t="s">
        <v>19</v>
      </c>
      <c r="G4" s="26"/>
      <c r="H4" s="26"/>
      <c r="I4" s="26"/>
      <c r="J4" s="26"/>
      <c r="K4" s="26"/>
      <c r="L4" s="26"/>
      <c r="M4" s="26"/>
      <c r="N4" s="26"/>
      <c r="O4" s="27"/>
      <c r="P4" s="25" t="s">
        <v>20</v>
      </c>
      <c r="Q4" s="26"/>
      <c r="R4" s="26"/>
      <c r="S4" s="26"/>
      <c r="T4" s="27"/>
      <c r="U4" s="28"/>
      <c r="V4" s="29"/>
      <c r="W4" s="30"/>
    </row>
    <row r="5" spans="1:28" s="3" customFormat="1" ht="60" x14ac:dyDescent="0.25">
      <c r="B5" s="4" t="s">
        <v>1</v>
      </c>
      <c r="C5" s="5" t="s">
        <v>2</v>
      </c>
      <c r="D5" s="5" t="s">
        <v>3</v>
      </c>
      <c r="E5" s="6" t="s">
        <v>4</v>
      </c>
      <c r="F5" s="7" t="s">
        <v>5</v>
      </c>
      <c r="G5" s="8" t="s">
        <v>6</v>
      </c>
      <c r="H5" s="8" t="s">
        <v>7</v>
      </c>
      <c r="I5" s="8" t="s">
        <v>8</v>
      </c>
      <c r="J5" s="8" t="s">
        <v>9</v>
      </c>
      <c r="K5" s="8" t="s">
        <v>10</v>
      </c>
      <c r="L5" s="8" t="s">
        <v>11</v>
      </c>
      <c r="M5" s="8" t="s">
        <v>12</v>
      </c>
      <c r="N5" s="8" t="s">
        <v>13</v>
      </c>
      <c r="O5" s="9" t="s">
        <v>14</v>
      </c>
      <c r="P5" s="7" t="s">
        <v>8</v>
      </c>
      <c r="Q5" s="8" t="s">
        <v>11</v>
      </c>
      <c r="R5" s="8" t="s">
        <v>6</v>
      </c>
      <c r="S5" s="8" t="s">
        <v>13</v>
      </c>
      <c r="T5" s="9" t="s">
        <v>15</v>
      </c>
      <c r="U5" s="7" t="s">
        <v>16</v>
      </c>
      <c r="V5" s="8" t="s">
        <v>17</v>
      </c>
      <c r="W5" s="9" t="s">
        <v>18</v>
      </c>
    </row>
    <row r="6" spans="1:28" x14ac:dyDescent="0.25">
      <c r="A6" s="11" t="s">
        <v>42</v>
      </c>
      <c r="B6" t="s">
        <v>50</v>
      </c>
      <c r="C6" t="s">
        <v>46</v>
      </c>
      <c r="D6">
        <v>657</v>
      </c>
      <c r="E6" s="15" t="s">
        <v>48</v>
      </c>
      <c r="F6" s="10">
        <v>46134</v>
      </c>
      <c r="G6" s="24">
        <f>ROUND((AB6-AA6)/30,0)</f>
        <v>12</v>
      </c>
      <c r="H6" s="11">
        <v>1264</v>
      </c>
      <c r="I6" s="11">
        <v>1425</v>
      </c>
      <c r="J6" s="11">
        <v>1425</v>
      </c>
      <c r="K6" s="11">
        <v>0</v>
      </c>
      <c r="L6" s="11">
        <f>J6+K6</f>
        <v>1425</v>
      </c>
      <c r="M6" s="14">
        <f>IFERROR(L6/I6,0)</f>
        <v>1</v>
      </c>
      <c r="N6" s="11">
        <f>IFERROR(((I6*G6)-L6)/G6,0)</f>
        <v>1306.25</v>
      </c>
      <c r="O6" s="16">
        <f>IFERROR(N6/D6,0)</f>
        <v>1.9882039573820396</v>
      </c>
      <c r="P6" s="11">
        <v>1405</v>
      </c>
      <c r="Q6" s="11">
        <v>0</v>
      </c>
      <c r="R6" s="24">
        <v>12</v>
      </c>
      <c r="S6" s="11">
        <f>IFERROR(((P6*R6)-Q6)/R6,0)</f>
        <v>1405</v>
      </c>
      <c r="T6" s="16">
        <f>IFERROR(S6/D6,0)</f>
        <v>2.1385083713850839</v>
      </c>
      <c r="U6" s="11">
        <f>I6-P6</f>
        <v>20</v>
      </c>
      <c r="V6" s="12">
        <f>IFERROR((I6-P6)/P6,0)</f>
        <v>1.4234875444839857E-2</v>
      </c>
      <c r="W6" s="13">
        <f>IFERROR((N6-S6)/S6,0)</f>
        <v>-7.0284697508896793E-2</v>
      </c>
      <c r="AA6" s="10">
        <v>46134</v>
      </c>
      <c r="AB6" s="10">
        <v>46498</v>
      </c>
    </row>
    <row r="7" spans="1:28" x14ac:dyDescent="0.25">
      <c r="A7" s="11" t="s">
        <v>42</v>
      </c>
      <c r="B7" t="s">
        <v>27</v>
      </c>
      <c r="C7" t="s">
        <v>46</v>
      </c>
      <c r="D7">
        <v>657</v>
      </c>
      <c r="E7" s="15" t="s">
        <v>43</v>
      </c>
      <c r="F7" s="10">
        <v>46158</v>
      </c>
      <c r="G7" s="24">
        <f>ROUND((AB7-AA7)/30,0)</f>
        <v>12</v>
      </c>
      <c r="H7" s="11">
        <v>1174</v>
      </c>
      <c r="I7" s="11">
        <v>1414</v>
      </c>
      <c r="J7" s="11">
        <v>0</v>
      </c>
      <c r="K7" s="11">
        <v>0</v>
      </c>
      <c r="L7" s="11">
        <f>J7+K7</f>
        <v>0</v>
      </c>
      <c r="M7" s="14">
        <f>IFERROR(L7/I7,0)</f>
        <v>0</v>
      </c>
      <c r="N7" s="11">
        <f>IFERROR(((I7*G7)-L7)/G7,0)</f>
        <v>1414</v>
      </c>
      <c r="O7" s="16">
        <f>IFERROR(N7/D7,0)</f>
        <v>2.1522070015220702</v>
      </c>
      <c r="P7" s="11">
        <v>1399</v>
      </c>
      <c r="Q7" s="11">
        <v>0</v>
      </c>
      <c r="R7" s="24">
        <v>12</v>
      </c>
      <c r="S7" s="11">
        <f>IFERROR(((P7*R7)-Q7)/R7,0)</f>
        <v>1399</v>
      </c>
      <c r="T7" s="16">
        <f>IFERROR(S7/D7,0)</f>
        <v>2.1293759512937593</v>
      </c>
      <c r="U7" s="11">
        <f>I7-P7</f>
        <v>15</v>
      </c>
      <c r="V7" s="12">
        <f>IFERROR((I7-P7)/P7,0)</f>
        <v>1.0721944245889922E-2</v>
      </c>
      <c r="W7" s="13">
        <f>IFERROR((N7-S7)/S7,0)</f>
        <v>1.0721944245889922E-2</v>
      </c>
      <c r="AA7" s="10">
        <v>46158</v>
      </c>
      <c r="AB7" s="10">
        <v>46522</v>
      </c>
    </row>
    <row r="8" spans="1:28" x14ac:dyDescent="0.25">
      <c r="A8" s="11" t="s">
        <v>42</v>
      </c>
      <c r="B8" t="s">
        <v>21</v>
      </c>
      <c r="C8" t="s">
        <v>46</v>
      </c>
      <c r="D8">
        <v>657</v>
      </c>
      <c r="E8" s="15" t="s">
        <v>22</v>
      </c>
      <c r="F8" s="10">
        <v>46196</v>
      </c>
      <c r="G8" s="24">
        <f>ROUND((AB8-AA8)/30,0)</f>
        <v>12</v>
      </c>
      <c r="H8" s="11">
        <v>1159</v>
      </c>
      <c r="I8" s="11">
        <v>1560</v>
      </c>
      <c r="J8" s="11">
        <v>0</v>
      </c>
      <c r="K8" s="11">
        <v>0</v>
      </c>
      <c r="L8" s="11">
        <f>J8+K8</f>
        <v>0</v>
      </c>
      <c r="M8" s="14">
        <f>IFERROR(L8/I8,0)</f>
        <v>0</v>
      </c>
      <c r="N8" s="11">
        <f>IFERROR(((I8*G8)-L8)/G8,0)</f>
        <v>1560</v>
      </c>
      <c r="O8" s="16">
        <f>IFERROR(N8/D8,0)</f>
        <v>2.3744292237442921</v>
      </c>
      <c r="P8" s="11">
        <v>1560</v>
      </c>
      <c r="Q8" s="11">
        <v>0</v>
      </c>
      <c r="R8" s="24">
        <v>12</v>
      </c>
      <c r="S8" s="11">
        <f>IFERROR(((P8*R8)-Q8)/R8,0)</f>
        <v>1560</v>
      </c>
      <c r="T8" s="16">
        <f>IFERROR(S8/D8,0)</f>
        <v>2.3744292237442921</v>
      </c>
      <c r="U8" s="11">
        <f>I8-P8</f>
        <v>0</v>
      </c>
      <c r="V8" s="12">
        <f>IFERROR((I8-P8)/P8,0)</f>
        <v>0</v>
      </c>
      <c r="W8" s="13">
        <f>IFERROR((N8-S8)/S8,0)</f>
        <v>0</v>
      </c>
      <c r="AA8" s="10">
        <v>46196</v>
      </c>
      <c r="AB8" s="10">
        <v>46560</v>
      </c>
    </row>
    <row r="9" spans="1:28" x14ac:dyDescent="0.25">
      <c r="A9" s="11" t="s">
        <v>42</v>
      </c>
      <c r="B9" t="s">
        <v>23</v>
      </c>
      <c r="C9" t="s">
        <v>46</v>
      </c>
      <c r="D9">
        <v>657</v>
      </c>
      <c r="E9" s="15" t="s">
        <v>24</v>
      </c>
      <c r="F9" s="10">
        <v>46185</v>
      </c>
      <c r="G9" s="24">
        <f>ROUND((AB9-AA9)/30,0)</f>
        <v>12</v>
      </c>
      <c r="H9" s="11">
        <v>1079</v>
      </c>
      <c r="I9" s="11">
        <v>1299</v>
      </c>
      <c r="J9" s="11">
        <v>0</v>
      </c>
      <c r="K9" s="11">
        <v>0</v>
      </c>
      <c r="L9" s="11">
        <f>J9+K9</f>
        <v>0</v>
      </c>
      <c r="M9" s="14">
        <f>IFERROR(L9/I9,0)</f>
        <v>0</v>
      </c>
      <c r="N9" s="11">
        <f>IFERROR(((I9*G9)-L9)/G9,0)</f>
        <v>1299</v>
      </c>
      <c r="O9" s="16">
        <f>IFERROR(N9/D9,0)</f>
        <v>1.9771689497716896</v>
      </c>
      <c r="P9" s="11">
        <v>1299</v>
      </c>
      <c r="Q9" s="11">
        <v>1549</v>
      </c>
      <c r="R9" s="24">
        <v>12</v>
      </c>
      <c r="S9" s="11">
        <f>IFERROR(((P9*R9)-Q9)/R9,0)</f>
        <v>1169.9166666666667</v>
      </c>
      <c r="T9" s="16">
        <f>IFERROR(S9/D9,0)</f>
        <v>1.7806950786402842</v>
      </c>
      <c r="U9" s="11">
        <f>I9-P9</f>
        <v>0</v>
      </c>
      <c r="V9" s="12">
        <f>IFERROR((I9-P9)/P9,0)</f>
        <v>0</v>
      </c>
      <c r="W9" s="13">
        <f>IFERROR((N9-S9)/S9,0)</f>
        <v>0.1103354939810527</v>
      </c>
      <c r="AA9" s="10">
        <v>46185</v>
      </c>
      <c r="AB9" s="10">
        <v>46549</v>
      </c>
    </row>
    <row r="10" spans="1:28" x14ac:dyDescent="0.25">
      <c r="A10" s="11"/>
      <c r="B10" s="17"/>
      <c r="C10" s="17" t="s">
        <v>25</v>
      </c>
      <c r="D10" s="17"/>
      <c r="E10" s="18"/>
      <c r="F10" s="17"/>
      <c r="G10" s="23">
        <f t="shared" ref="G10:W10" si="0">SUBTOTAL(1,G6:G9)</f>
        <v>12</v>
      </c>
      <c r="H10" s="20">
        <f t="shared" si="0"/>
        <v>1169</v>
      </c>
      <c r="I10" s="20">
        <f t="shared" si="0"/>
        <v>1424.5</v>
      </c>
      <c r="J10" s="20">
        <f t="shared" si="0"/>
        <v>356.25</v>
      </c>
      <c r="K10" s="20">
        <f t="shared" si="0"/>
        <v>0</v>
      </c>
      <c r="L10" s="20">
        <f t="shared" si="0"/>
        <v>356.25</v>
      </c>
      <c r="M10" s="19">
        <f t="shared" si="0"/>
        <v>0.25</v>
      </c>
      <c r="N10" s="20">
        <f t="shared" si="0"/>
        <v>1394.8125</v>
      </c>
      <c r="O10" s="21">
        <f t="shared" si="0"/>
        <v>2.123002283105023</v>
      </c>
      <c r="P10" s="20">
        <f t="shared" si="0"/>
        <v>1415.75</v>
      </c>
      <c r="Q10" s="20">
        <f t="shared" si="0"/>
        <v>387.25</v>
      </c>
      <c r="R10" s="23">
        <f t="shared" si="0"/>
        <v>12</v>
      </c>
      <c r="S10" s="20">
        <f t="shared" si="0"/>
        <v>1383.4791666666667</v>
      </c>
      <c r="T10" s="21">
        <f t="shared" si="0"/>
        <v>2.1057521562658552</v>
      </c>
      <c r="U10" s="20">
        <f t="shared" si="0"/>
        <v>8.75</v>
      </c>
      <c r="V10" s="22">
        <f t="shared" si="0"/>
        <v>6.2392049226824443E-3</v>
      </c>
      <c r="W10" s="22">
        <f t="shared" si="0"/>
        <v>1.2693185179511459E-2</v>
      </c>
      <c r="AA10" s="10"/>
      <c r="AB10" s="10"/>
    </row>
    <row r="11" spans="1:28" x14ac:dyDescent="0.25">
      <c r="A11" s="11" t="s">
        <v>42</v>
      </c>
      <c r="B11" t="s">
        <v>44</v>
      </c>
      <c r="C11" t="s">
        <v>26</v>
      </c>
      <c r="D11">
        <v>700</v>
      </c>
      <c r="E11" s="15" t="s">
        <v>36</v>
      </c>
      <c r="F11" s="10">
        <v>46189</v>
      </c>
      <c r="G11" s="24">
        <f>ROUND((AB11-AA11)/30,0)</f>
        <v>12</v>
      </c>
      <c r="H11" s="11">
        <v>1290</v>
      </c>
      <c r="I11" s="11">
        <v>1430</v>
      </c>
      <c r="J11" s="11">
        <v>0</v>
      </c>
      <c r="K11" s="11">
        <v>0</v>
      </c>
      <c r="L11" s="11">
        <f>J11+K11</f>
        <v>0</v>
      </c>
      <c r="M11" s="14">
        <f>IFERROR(L11/I11,0)</f>
        <v>0</v>
      </c>
      <c r="N11" s="11">
        <f>IFERROR(((I11*G11)-L11)/G11,0)</f>
        <v>1430</v>
      </c>
      <c r="O11" s="16">
        <f>IFERROR(N11/D11,0)</f>
        <v>2.0428571428571427</v>
      </c>
      <c r="P11" s="11">
        <v>1425</v>
      </c>
      <c r="Q11" s="11">
        <v>0</v>
      </c>
      <c r="R11" s="24">
        <v>10</v>
      </c>
      <c r="S11" s="11">
        <f>IFERROR(((P11*R11)-Q11)/R11,0)</f>
        <v>1425</v>
      </c>
      <c r="T11" s="16">
        <f>IFERROR(S11/D11,0)</f>
        <v>2.0357142857142856</v>
      </c>
      <c r="U11" s="11">
        <f>I11-P11</f>
        <v>5</v>
      </c>
      <c r="V11" s="12">
        <f>IFERROR((I11-P11)/P11,0)</f>
        <v>3.5087719298245615E-3</v>
      </c>
      <c r="W11" s="13">
        <f>IFERROR((N11-S11)/S11,0)</f>
        <v>3.5087719298245615E-3</v>
      </c>
      <c r="AA11" s="10">
        <v>46189</v>
      </c>
      <c r="AB11" s="10">
        <v>46553</v>
      </c>
    </row>
    <row r="12" spans="1:28" x14ac:dyDescent="0.25">
      <c r="A12" s="11" t="s">
        <v>42</v>
      </c>
      <c r="B12" t="s">
        <v>37</v>
      </c>
      <c r="C12" t="s">
        <v>26</v>
      </c>
      <c r="D12">
        <v>700</v>
      </c>
      <c r="E12" s="15" t="s">
        <v>38</v>
      </c>
      <c r="F12" s="10">
        <v>46175</v>
      </c>
      <c r="G12" s="24">
        <f>ROUND((AB12-AA12)/30,0)</f>
        <v>12</v>
      </c>
      <c r="H12" s="11">
        <v>1260</v>
      </c>
      <c r="I12" s="11">
        <v>1395</v>
      </c>
      <c r="J12" s="11">
        <v>0</v>
      </c>
      <c r="K12" s="11">
        <v>0</v>
      </c>
      <c r="L12" s="11">
        <f>J12+K12</f>
        <v>0</v>
      </c>
      <c r="M12" s="14">
        <f>IFERROR(L12/I12,0)</f>
        <v>0</v>
      </c>
      <c r="N12" s="11">
        <f>IFERROR(((I12*G12)-L12)/G12,0)</f>
        <v>1395</v>
      </c>
      <c r="O12" s="16">
        <f>IFERROR(N12/D12,0)</f>
        <v>1.9928571428571429</v>
      </c>
      <c r="P12" s="11">
        <v>1395</v>
      </c>
      <c r="Q12" s="11">
        <v>2342</v>
      </c>
      <c r="R12" s="24">
        <v>12</v>
      </c>
      <c r="S12" s="11">
        <f>IFERROR(((P12*R12)-Q12)/R12,0)</f>
        <v>1199.8333333333333</v>
      </c>
      <c r="T12" s="16">
        <f>IFERROR(S12/D12,0)</f>
        <v>1.714047619047619</v>
      </c>
      <c r="U12" s="11">
        <f>I12-P12</f>
        <v>0</v>
      </c>
      <c r="V12" s="12">
        <f>IFERROR((I12-P12)/P12,0)</f>
        <v>0</v>
      </c>
      <c r="W12" s="13">
        <f>IFERROR((N12-S12)/S12,0)</f>
        <v>0.16266148076121692</v>
      </c>
      <c r="AA12" s="10">
        <v>46175</v>
      </c>
      <c r="AB12" s="10">
        <v>46539</v>
      </c>
    </row>
    <row r="13" spans="1:28" x14ac:dyDescent="0.25">
      <c r="A13" s="11"/>
      <c r="B13" s="17"/>
      <c r="C13" s="17" t="s">
        <v>79</v>
      </c>
      <c r="D13" s="17"/>
      <c r="E13" s="18"/>
      <c r="F13" s="17"/>
      <c r="G13" s="23">
        <f t="shared" ref="G13:W13" si="1">SUBTOTAL(1,G11:G12)</f>
        <v>12</v>
      </c>
      <c r="H13" s="20">
        <f t="shared" si="1"/>
        <v>1275</v>
      </c>
      <c r="I13" s="20">
        <f t="shared" si="1"/>
        <v>1412.5</v>
      </c>
      <c r="J13" s="20">
        <f t="shared" si="1"/>
        <v>0</v>
      </c>
      <c r="K13" s="20">
        <f t="shared" si="1"/>
        <v>0</v>
      </c>
      <c r="L13" s="20">
        <f t="shared" si="1"/>
        <v>0</v>
      </c>
      <c r="M13" s="19">
        <f t="shared" si="1"/>
        <v>0</v>
      </c>
      <c r="N13" s="20">
        <f t="shared" si="1"/>
        <v>1412.5</v>
      </c>
      <c r="O13" s="21">
        <f t="shared" si="1"/>
        <v>2.0178571428571428</v>
      </c>
      <c r="P13" s="20">
        <f t="shared" si="1"/>
        <v>1410</v>
      </c>
      <c r="Q13" s="20">
        <f t="shared" si="1"/>
        <v>1171</v>
      </c>
      <c r="R13" s="23">
        <f t="shared" si="1"/>
        <v>11</v>
      </c>
      <c r="S13" s="20">
        <f t="shared" si="1"/>
        <v>1312.4166666666665</v>
      </c>
      <c r="T13" s="21">
        <f t="shared" si="1"/>
        <v>1.8748809523809524</v>
      </c>
      <c r="U13" s="20">
        <f t="shared" si="1"/>
        <v>2.5</v>
      </c>
      <c r="V13" s="22">
        <f t="shared" si="1"/>
        <v>1.7543859649122807E-3</v>
      </c>
      <c r="W13" s="22">
        <f t="shared" si="1"/>
        <v>8.3085126345520746E-2</v>
      </c>
      <c r="AA13" s="10"/>
      <c r="AB13" s="10"/>
    </row>
    <row r="14" spans="1:28" x14ac:dyDescent="0.25">
      <c r="A14" s="11" t="s">
        <v>42</v>
      </c>
      <c r="B14" t="s">
        <v>29</v>
      </c>
      <c r="C14" t="s">
        <v>51</v>
      </c>
      <c r="D14">
        <v>814</v>
      </c>
      <c r="E14" s="15" t="s">
        <v>47</v>
      </c>
      <c r="F14" s="10">
        <v>46183</v>
      </c>
      <c r="G14" s="24">
        <f>ROUND((AB14-AA14)/30,0)</f>
        <v>12</v>
      </c>
      <c r="H14" s="11">
        <v>1355</v>
      </c>
      <c r="I14" s="11">
        <v>1585</v>
      </c>
      <c r="J14" s="11">
        <v>0</v>
      </c>
      <c r="K14" s="11">
        <v>0</v>
      </c>
      <c r="L14" s="11">
        <f>J14+K14</f>
        <v>0</v>
      </c>
      <c r="M14" s="14">
        <f>IFERROR(L14/I14,0)</f>
        <v>0</v>
      </c>
      <c r="N14" s="11">
        <f>IFERROR(((I14*G14)-L14)/G14,0)</f>
        <v>1585</v>
      </c>
      <c r="O14" s="16">
        <f>IFERROR(N14/D14,0)</f>
        <v>1.9471744471744472</v>
      </c>
      <c r="P14" s="11">
        <v>1585</v>
      </c>
      <c r="Q14" s="11">
        <v>0</v>
      </c>
      <c r="R14" s="24">
        <v>12</v>
      </c>
      <c r="S14" s="11">
        <f>IFERROR(((P14*R14)-Q14)/R14,0)</f>
        <v>1585</v>
      </c>
      <c r="T14" s="16">
        <f>IFERROR(S14/D14,0)</f>
        <v>1.9471744471744472</v>
      </c>
      <c r="U14" s="11">
        <f>I14-P14</f>
        <v>0</v>
      </c>
      <c r="V14" s="12">
        <f>IFERROR((I14-P14)/P14,0)</f>
        <v>0</v>
      </c>
      <c r="W14" s="13">
        <f>IFERROR((N14-S14)/S14,0)</f>
        <v>0</v>
      </c>
      <c r="AA14" s="10">
        <v>46183</v>
      </c>
      <c r="AB14" s="10">
        <v>46547</v>
      </c>
    </row>
    <row r="15" spans="1:28" x14ac:dyDescent="0.25">
      <c r="A15" s="11" t="s">
        <v>42</v>
      </c>
      <c r="B15" t="s">
        <v>49</v>
      </c>
      <c r="C15" t="s">
        <v>51</v>
      </c>
      <c r="D15">
        <v>814</v>
      </c>
      <c r="E15" s="15" t="s">
        <v>30</v>
      </c>
      <c r="F15" s="10">
        <v>46186</v>
      </c>
      <c r="G15" s="24">
        <f>ROUND((AB15-AA15)/30,0)</f>
        <v>12</v>
      </c>
      <c r="H15" s="11">
        <v>1335</v>
      </c>
      <c r="I15" s="11">
        <v>1517</v>
      </c>
      <c r="J15" s="11">
        <v>0</v>
      </c>
      <c r="K15" s="11">
        <v>0</v>
      </c>
      <c r="L15" s="11">
        <f>J15+K15</f>
        <v>0</v>
      </c>
      <c r="M15" s="14">
        <f>IFERROR(L15/I15,0)</f>
        <v>0</v>
      </c>
      <c r="N15" s="11">
        <f>IFERROR(((I15*G15)-L15)/G15,0)</f>
        <v>1517</v>
      </c>
      <c r="O15" s="16">
        <f>IFERROR(N15/D15,0)</f>
        <v>1.8636363636363635</v>
      </c>
      <c r="P15" s="11">
        <v>1517</v>
      </c>
      <c r="Q15" s="11">
        <v>0</v>
      </c>
      <c r="R15" s="24">
        <v>10</v>
      </c>
      <c r="S15" s="11">
        <f>IFERROR(((P15*R15)-Q15)/R15,0)</f>
        <v>1517</v>
      </c>
      <c r="T15" s="16">
        <f>IFERROR(S15/D15,0)</f>
        <v>1.8636363636363635</v>
      </c>
      <c r="U15" s="11">
        <f>I15-P15</f>
        <v>0</v>
      </c>
      <c r="V15" s="12">
        <f>IFERROR((I15-P15)/P15,0)</f>
        <v>0</v>
      </c>
      <c r="W15" s="13">
        <f>IFERROR((N15-S15)/S15,0)</f>
        <v>0</v>
      </c>
      <c r="AA15" s="10">
        <v>46186</v>
      </c>
      <c r="AB15" s="10">
        <v>46550</v>
      </c>
    </row>
    <row r="16" spans="1:28" x14ac:dyDescent="0.25">
      <c r="A16" s="11" t="s">
        <v>42</v>
      </c>
      <c r="B16" t="s">
        <v>45</v>
      </c>
      <c r="C16" t="s">
        <v>51</v>
      </c>
      <c r="D16">
        <v>814</v>
      </c>
      <c r="E16" s="15" t="s">
        <v>31</v>
      </c>
      <c r="F16" s="10">
        <v>46180</v>
      </c>
      <c r="G16" s="24">
        <f>ROUND((AB16-AA16)/30,0)</f>
        <v>12</v>
      </c>
      <c r="H16" s="11">
        <v>1415</v>
      </c>
      <c r="I16" s="11">
        <v>1640</v>
      </c>
      <c r="J16" s="11">
        <v>0</v>
      </c>
      <c r="K16" s="11">
        <v>0</v>
      </c>
      <c r="L16" s="11">
        <f>J16+K16</f>
        <v>0</v>
      </c>
      <c r="M16" s="14">
        <f>IFERROR(L16/I16,0)</f>
        <v>0</v>
      </c>
      <c r="N16" s="11">
        <f>IFERROR(((I16*G16)-L16)/G16,0)</f>
        <v>1640</v>
      </c>
      <c r="O16" s="16">
        <f>IFERROR(N16/D16,0)</f>
        <v>2.0147420147420148</v>
      </c>
      <c r="P16" s="11">
        <v>1640</v>
      </c>
      <c r="Q16" s="11">
        <v>1640</v>
      </c>
      <c r="R16" s="24">
        <v>10</v>
      </c>
      <c r="S16" s="11">
        <f>IFERROR(((P16*R16)-Q16)/R16,0)</f>
        <v>1476</v>
      </c>
      <c r="T16" s="16">
        <f>IFERROR(S16/D16,0)</f>
        <v>1.8132678132678133</v>
      </c>
      <c r="U16" s="11">
        <f>I16-P16</f>
        <v>0</v>
      </c>
      <c r="V16" s="12">
        <f>IFERROR((I16-P16)/P16,0)</f>
        <v>0</v>
      </c>
      <c r="W16" s="13">
        <f>IFERROR((N16-S16)/S16,0)</f>
        <v>0.1111111111111111</v>
      </c>
      <c r="AA16" s="10">
        <v>46180</v>
      </c>
      <c r="AB16" s="10">
        <v>46544</v>
      </c>
    </row>
    <row r="17" spans="1:28" x14ac:dyDescent="0.25">
      <c r="A17" s="11" t="s">
        <v>42</v>
      </c>
      <c r="B17" t="s">
        <v>32</v>
      </c>
      <c r="C17" t="s">
        <v>51</v>
      </c>
      <c r="D17">
        <v>814</v>
      </c>
      <c r="E17" s="15" t="s">
        <v>35</v>
      </c>
      <c r="F17" s="10">
        <v>46179</v>
      </c>
      <c r="G17" s="24">
        <f>ROUND((AB17-AA17)/30,0)</f>
        <v>12</v>
      </c>
      <c r="H17" s="11">
        <v>1430</v>
      </c>
      <c r="I17" s="11">
        <v>1595</v>
      </c>
      <c r="J17" s="11">
        <v>0</v>
      </c>
      <c r="K17" s="11">
        <v>0</v>
      </c>
      <c r="L17" s="11">
        <f>J17+K17</f>
        <v>0</v>
      </c>
      <c r="M17" s="14">
        <f>IFERROR(L17/I17,0)</f>
        <v>0</v>
      </c>
      <c r="N17" s="11">
        <f>IFERROR(((I17*G17)-L17)/G17,0)</f>
        <v>1595</v>
      </c>
      <c r="O17" s="16">
        <f>IFERROR(N17/D17,0)</f>
        <v>1.9594594594594594</v>
      </c>
      <c r="P17" s="11">
        <v>1584</v>
      </c>
      <c r="Q17" s="11">
        <v>1584</v>
      </c>
      <c r="R17" s="24">
        <v>12</v>
      </c>
      <c r="S17" s="11">
        <f>IFERROR(((P17*R17)-Q17)/R17,0)</f>
        <v>1452</v>
      </c>
      <c r="T17" s="16">
        <f>IFERROR(S17/D17,0)</f>
        <v>1.7837837837837838</v>
      </c>
      <c r="U17" s="11">
        <f>I17-P17</f>
        <v>11</v>
      </c>
      <c r="V17" s="12">
        <f>IFERROR((I17-P17)/P17,0)</f>
        <v>6.9444444444444441E-3</v>
      </c>
      <c r="W17" s="13">
        <f>IFERROR((N17-S17)/S17,0)</f>
        <v>9.8484848484848481E-2</v>
      </c>
      <c r="AA17" s="10">
        <v>46179</v>
      </c>
      <c r="AB17" s="10">
        <v>46543</v>
      </c>
    </row>
    <row r="18" spans="1:28" x14ac:dyDescent="0.25">
      <c r="A18" s="11" t="s">
        <v>42</v>
      </c>
      <c r="B18" t="s">
        <v>33</v>
      </c>
      <c r="C18" t="s">
        <v>51</v>
      </c>
      <c r="D18">
        <v>814</v>
      </c>
      <c r="E18" s="15" t="s">
        <v>34</v>
      </c>
      <c r="F18" s="10">
        <v>46136</v>
      </c>
      <c r="G18" s="24">
        <f>ROUND((AB18-AA18)/30,0)</f>
        <v>12</v>
      </c>
      <c r="H18" s="11">
        <v>1305</v>
      </c>
      <c r="I18" s="11">
        <v>1535</v>
      </c>
      <c r="J18" s="11">
        <v>0</v>
      </c>
      <c r="K18" s="11">
        <v>0</v>
      </c>
      <c r="L18" s="11">
        <f>J18+K18</f>
        <v>0</v>
      </c>
      <c r="M18" s="14">
        <f>IFERROR(L18/I18,0)</f>
        <v>0</v>
      </c>
      <c r="N18" s="11">
        <f>IFERROR(((I18*G18)-L18)/G18,0)</f>
        <v>1535</v>
      </c>
      <c r="O18" s="16">
        <f>IFERROR(N18/D18,0)</f>
        <v>1.8857493857493857</v>
      </c>
      <c r="P18" s="11">
        <v>1535</v>
      </c>
      <c r="Q18" s="11">
        <v>0</v>
      </c>
      <c r="R18" s="24">
        <v>12</v>
      </c>
      <c r="S18" s="11">
        <f>IFERROR(((P18*R18)-Q18)/R18,0)</f>
        <v>1535</v>
      </c>
      <c r="T18" s="16">
        <f>IFERROR(S18/D18,0)</f>
        <v>1.8857493857493857</v>
      </c>
      <c r="U18" s="11">
        <f>I18-P18</f>
        <v>0</v>
      </c>
      <c r="V18" s="12">
        <f>IFERROR((I18-P18)/P18,0)</f>
        <v>0</v>
      </c>
      <c r="W18" s="13">
        <f>IFERROR((N18-S18)/S18,0)</f>
        <v>0</v>
      </c>
      <c r="AA18" s="10">
        <v>46136</v>
      </c>
      <c r="AB18" s="10">
        <v>46500</v>
      </c>
    </row>
    <row r="19" spans="1:28" x14ac:dyDescent="0.25">
      <c r="A19" s="11"/>
      <c r="B19" s="17"/>
      <c r="C19" s="17" t="s">
        <v>57</v>
      </c>
      <c r="D19" s="17"/>
      <c r="E19" s="18"/>
      <c r="F19" s="17"/>
      <c r="G19" s="23">
        <f t="shared" ref="G19:W19" si="2">SUBTOTAL(1,G14:G18)</f>
        <v>12</v>
      </c>
      <c r="H19" s="20">
        <f t="shared" si="2"/>
        <v>1368</v>
      </c>
      <c r="I19" s="20">
        <f t="shared" si="2"/>
        <v>1574.4</v>
      </c>
      <c r="J19" s="20">
        <f t="shared" si="2"/>
        <v>0</v>
      </c>
      <c r="K19" s="20">
        <f t="shared" si="2"/>
        <v>0</v>
      </c>
      <c r="L19" s="20">
        <f t="shared" si="2"/>
        <v>0</v>
      </c>
      <c r="M19" s="19">
        <f t="shared" si="2"/>
        <v>0</v>
      </c>
      <c r="N19" s="20">
        <f t="shared" si="2"/>
        <v>1574.4</v>
      </c>
      <c r="O19" s="21">
        <f t="shared" si="2"/>
        <v>1.9341523341523341</v>
      </c>
      <c r="P19" s="20">
        <f t="shared" si="2"/>
        <v>1572.2</v>
      </c>
      <c r="Q19" s="20">
        <f t="shared" si="2"/>
        <v>644.79999999999995</v>
      </c>
      <c r="R19" s="23">
        <f t="shared" si="2"/>
        <v>11.2</v>
      </c>
      <c r="S19" s="20">
        <f t="shared" si="2"/>
        <v>1513</v>
      </c>
      <c r="T19" s="21">
        <f t="shared" si="2"/>
        <v>1.8587223587223587</v>
      </c>
      <c r="U19" s="20">
        <f t="shared" si="2"/>
        <v>2.2000000000000002</v>
      </c>
      <c r="V19" s="22">
        <f t="shared" si="2"/>
        <v>1.3888888888888887E-3</v>
      </c>
      <c r="W19" s="22">
        <f t="shared" si="2"/>
        <v>4.1919191919191919E-2</v>
      </c>
      <c r="AA19" s="10"/>
      <c r="AB19" s="10"/>
    </row>
    <row r="20" spans="1:28" x14ac:dyDescent="0.25">
      <c r="A20" s="11" t="s">
        <v>42</v>
      </c>
      <c r="B20" t="s">
        <v>58</v>
      </c>
      <c r="C20" t="s">
        <v>41</v>
      </c>
      <c r="D20">
        <v>875</v>
      </c>
      <c r="E20" s="15" t="s">
        <v>39</v>
      </c>
      <c r="F20" s="10">
        <v>46146</v>
      </c>
      <c r="G20" s="24">
        <f>ROUND((AB20-AA20)/30,0)</f>
        <v>12</v>
      </c>
      <c r="H20" s="11">
        <v>1349</v>
      </c>
      <c r="I20" s="11">
        <v>1625</v>
      </c>
      <c r="J20" s="11">
        <v>1625</v>
      </c>
      <c r="K20" s="11">
        <v>0</v>
      </c>
      <c r="L20" s="11">
        <f>J20+K20</f>
        <v>1625</v>
      </c>
      <c r="M20" s="14">
        <f>IFERROR(L20/I20,0)</f>
        <v>1</v>
      </c>
      <c r="N20" s="11">
        <f>IFERROR(((I20*G20)-L20)/G20,0)</f>
        <v>1489.5833333333333</v>
      </c>
      <c r="O20" s="16">
        <f>IFERROR(N20/D20,0)</f>
        <v>1.7023809523809523</v>
      </c>
      <c r="P20" s="11">
        <v>1610</v>
      </c>
      <c r="Q20" s="11">
        <v>0</v>
      </c>
      <c r="R20" s="24">
        <v>12</v>
      </c>
      <c r="S20" s="11">
        <f>IFERROR(((P20*R20)-Q20)/R20,0)</f>
        <v>1610</v>
      </c>
      <c r="T20" s="16">
        <f>IFERROR(S20/D20,0)</f>
        <v>1.84</v>
      </c>
      <c r="U20" s="11">
        <f>I20-P20</f>
        <v>15</v>
      </c>
      <c r="V20" s="12">
        <f>IFERROR((I20-P20)/P20,0)</f>
        <v>9.316770186335404E-3</v>
      </c>
      <c r="W20" s="13">
        <f>IFERROR((N20-S20)/S20,0)</f>
        <v>-7.4792960662525929E-2</v>
      </c>
      <c r="AA20" s="10">
        <v>46146</v>
      </c>
      <c r="AB20" s="10">
        <v>46510</v>
      </c>
    </row>
    <row r="21" spans="1:28" x14ac:dyDescent="0.25">
      <c r="A21" s="11" t="s">
        <v>42</v>
      </c>
      <c r="B21" t="s">
        <v>40</v>
      </c>
      <c r="C21" t="s">
        <v>41</v>
      </c>
      <c r="D21">
        <v>875</v>
      </c>
      <c r="E21" s="15" t="s">
        <v>80</v>
      </c>
      <c r="F21" s="10">
        <v>46148</v>
      </c>
      <c r="G21" s="24">
        <f>ROUND((AB21-AA21)/30,0)</f>
        <v>12</v>
      </c>
      <c r="H21" s="11">
        <v>1349</v>
      </c>
      <c r="I21" s="11">
        <v>1642</v>
      </c>
      <c r="J21" s="11">
        <v>2440.5</v>
      </c>
      <c r="K21" s="11">
        <v>0</v>
      </c>
      <c r="L21" s="11">
        <f>J21+K21</f>
        <v>2440.5</v>
      </c>
      <c r="M21" s="14">
        <f>IFERROR(L21/I21,0)</f>
        <v>1.4862971985383679</v>
      </c>
      <c r="N21" s="11">
        <f>IFERROR(((I21*G21)-L21)/G21,0)</f>
        <v>1438.625</v>
      </c>
      <c r="O21" s="16">
        <f>IFERROR(N21/D21,0)</f>
        <v>1.6441428571428571</v>
      </c>
      <c r="P21" s="11">
        <v>1627</v>
      </c>
      <c r="Q21" s="11">
        <v>0</v>
      </c>
      <c r="R21" s="24">
        <v>12</v>
      </c>
      <c r="S21" s="11">
        <f>IFERROR(((P21*R21)-Q21)/R21,0)</f>
        <v>1627</v>
      </c>
      <c r="T21" s="16">
        <f>IFERROR(S21/D21,0)</f>
        <v>1.8594285714285714</v>
      </c>
      <c r="U21" s="11">
        <f>I21-P21</f>
        <v>15</v>
      </c>
      <c r="V21" s="12">
        <f>IFERROR((I21-P21)/P21,0)</f>
        <v>9.2194222495390298E-3</v>
      </c>
      <c r="W21" s="13">
        <f>IFERROR((N21-S21)/S21,0)</f>
        <v>-0.11578057775046097</v>
      </c>
      <c r="AA21" s="10">
        <v>46148</v>
      </c>
      <c r="AB21" s="10">
        <v>46512</v>
      </c>
    </row>
    <row r="22" spans="1:28" x14ac:dyDescent="0.25">
      <c r="A22" s="11"/>
      <c r="B22" s="17"/>
      <c r="C22" s="17" t="s">
        <v>77</v>
      </c>
      <c r="D22" s="17"/>
      <c r="E22" s="18"/>
      <c r="F22" s="17"/>
      <c r="G22" s="23">
        <f t="shared" ref="G22:W22" si="3">SUBTOTAL(1,G20:G21)</f>
        <v>12</v>
      </c>
      <c r="H22" s="20">
        <f t="shared" si="3"/>
        <v>1349</v>
      </c>
      <c r="I22" s="20">
        <f t="shared" si="3"/>
        <v>1633.5</v>
      </c>
      <c r="J22" s="20">
        <f t="shared" si="3"/>
        <v>2032.75</v>
      </c>
      <c r="K22" s="20">
        <f t="shared" si="3"/>
        <v>0</v>
      </c>
      <c r="L22" s="20">
        <f t="shared" si="3"/>
        <v>2032.75</v>
      </c>
      <c r="M22" s="19">
        <f t="shared" si="3"/>
        <v>1.243148599269184</v>
      </c>
      <c r="N22" s="20">
        <f t="shared" si="3"/>
        <v>1464.1041666666665</v>
      </c>
      <c r="O22" s="21">
        <f t="shared" si="3"/>
        <v>1.6732619047619046</v>
      </c>
      <c r="P22" s="20">
        <f t="shared" si="3"/>
        <v>1618.5</v>
      </c>
      <c r="Q22" s="20">
        <f t="shared" si="3"/>
        <v>0</v>
      </c>
      <c r="R22" s="23">
        <f t="shared" si="3"/>
        <v>12</v>
      </c>
      <c r="S22" s="20">
        <f t="shared" si="3"/>
        <v>1618.5</v>
      </c>
      <c r="T22" s="21">
        <f t="shared" si="3"/>
        <v>1.8497142857142856</v>
      </c>
      <c r="U22" s="20">
        <f t="shared" si="3"/>
        <v>15</v>
      </c>
      <c r="V22" s="22">
        <f t="shared" si="3"/>
        <v>9.2680962179372169E-3</v>
      </c>
      <c r="W22" s="22">
        <f t="shared" si="3"/>
        <v>-9.5286769206493455E-2</v>
      </c>
      <c r="AA22" s="10"/>
      <c r="AB22" s="10"/>
    </row>
    <row r="23" spans="1:28" x14ac:dyDescent="0.25">
      <c r="A23" s="11" t="s">
        <v>42</v>
      </c>
      <c r="B23" t="s">
        <v>78</v>
      </c>
      <c r="C23" t="s">
        <v>76</v>
      </c>
      <c r="D23">
        <v>930</v>
      </c>
      <c r="E23" s="15" t="s">
        <v>61</v>
      </c>
      <c r="F23" s="10">
        <v>46116</v>
      </c>
      <c r="G23" s="24">
        <f>ROUND((AB23-AA23)/30,0)</f>
        <v>12</v>
      </c>
      <c r="H23" s="11">
        <v>1370</v>
      </c>
      <c r="I23" s="11">
        <v>1635</v>
      </c>
      <c r="J23" s="11">
        <v>1635</v>
      </c>
      <c r="K23" s="11">
        <v>0</v>
      </c>
      <c r="L23" s="11">
        <f>J23+K23</f>
        <v>1635</v>
      </c>
      <c r="M23" s="14">
        <f>IFERROR(L23/I23,0)</f>
        <v>1</v>
      </c>
      <c r="N23" s="11">
        <f>IFERROR(((I23*G23)-L23)/G23,0)</f>
        <v>1498.75</v>
      </c>
      <c r="O23" s="16">
        <f>IFERROR(N23/D23,0)</f>
        <v>1.6115591397849462</v>
      </c>
      <c r="P23" s="11">
        <v>1615</v>
      </c>
      <c r="Q23" s="11">
        <v>0</v>
      </c>
      <c r="R23" s="24">
        <v>12</v>
      </c>
      <c r="S23" s="11">
        <f>IFERROR(((P23*R23)-Q23)/R23,0)</f>
        <v>1615</v>
      </c>
      <c r="T23" s="16">
        <f>IFERROR(S23/D23,0)</f>
        <v>1.7365591397849462</v>
      </c>
      <c r="U23" s="11">
        <f>I23-P23</f>
        <v>20</v>
      </c>
      <c r="V23" s="12">
        <f>IFERROR((I23-P23)/P23,0)</f>
        <v>1.238390092879257E-2</v>
      </c>
      <c r="W23" s="13">
        <f>IFERROR((N23-S23)/S23,0)</f>
        <v>-7.198142414860681E-2</v>
      </c>
      <c r="AA23" s="10">
        <v>46116</v>
      </c>
      <c r="AB23" s="10">
        <v>46480</v>
      </c>
    </row>
    <row r="24" spans="1:28" x14ac:dyDescent="0.25">
      <c r="A24" s="11" t="s">
        <v>42</v>
      </c>
      <c r="B24" t="s">
        <v>62</v>
      </c>
      <c r="C24" t="s">
        <v>76</v>
      </c>
      <c r="D24">
        <v>930</v>
      </c>
      <c r="E24" s="15" t="s">
        <v>63</v>
      </c>
      <c r="F24" s="10">
        <v>46155</v>
      </c>
      <c r="G24" s="24">
        <f>ROUND((AB24-AA24)/30,0)</f>
        <v>12</v>
      </c>
      <c r="H24" s="11">
        <v>1303</v>
      </c>
      <c r="I24" s="11">
        <v>1494</v>
      </c>
      <c r="J24" s="11">
        <v>1494</v>
      </c>
      <c r="K24" s="11">
        <v>0</v>
      </c>
      <c r="L24" s="11">
        <f>J24+K24</f>
        <v>1494</v>
      </c>
      <c r="M24" s="14">
        <f>IFERROR(L24/I24,0)</f>
        <v>1</v>
      </c>
      <c r="N24" s="11">
        <f>IFERROR(((I24*G24)-L24)/G24,0)</f>
        <v>1369.5</v>
      </c>
      <c r="O24" s="16">
        <f>IFERROR(N24/D24,0)</f>
        <v>1.4725806451612904</v>
      </c>
      <c r="P24" s="11">
        <v>1479</v>
      </c>
      <c r="Q24" s="11">
        <v>747</v>
      </c>
      <c r="R24" s="24">
        <v>12</v>
      </c>
      <c r="S24" s="11">
        <f>IFERROR(((P24*R24)-Q24)/R24,0)</f>
        <v>1416.75</v>
      </c>
      <c r="T24" s="16">
        <f>IFERROR(S24/D24,0)</f>
        <v>1.5233870967741936</v>
      </c>
      <c r="U24" s="11">
        <f>I24-P24</f>
        <v>15</v>
      </c>
      <c r="V24" s="12">
        <f>IFERROR((I24-P24)/P24,0)</f>
        <v>1.0141987829614604E-2</v>
      </c>
      <c r="W24" s="13">
        <f>IFERROR((N24-S24)/S24,0)</f>
        <v>-3.3350979354155638E-2</v>
      </c>
      <c r="AA24" s="10">
        <v>46155</v>
      </c>
      <c r="AB24" s="10">
        <v>46519</v>
      </c>
    </row>
    <row r="25" spans="1:28" x14ac:dyDescent="0.25">
      <c r="A25" s="11"/>
      <c r="B25" s="17"/>
      <c r="C25" s="17" t="s">
        <v>75</v>
      </c>
      <c r="D25" s="17"/>
      <c r="E25" s="18"/>
      <c r="F25" s="17"/>
      <c r="G25" s="23">
        <f t="shared" ref="G25:W25" si="4">SUBTOTAL(1,G23:G24)</f>
        <v>12</v>
      </c>
      <c r="H25" s="20">
        <f t="shared" si="4"/>
        <v>1336.5</v>
      </c>
      <c r="I25" s="20">
        <f t="shared" si="4"/>
        <v>1564.5</v>
      </c>
      <c r="J25" s="20">
        <f t="shared" si="4"/>
        <v>1564.5</v>
      </c>
      <c r="K25" s="20">
        <f t="shared" si="4"/>
        <v>0</v>
      </c>
      <c r="L25" s="20">
        <f t="shared" si="4"/>
        <v>1564.5</v>
      </c>
      <c r="M25" s="19">
        <f t="shared" si="4"/>
        <v>1</v>
      </c>
      <c r="N25" s="20">
        <f t="shared" si="4"/>
        <v>1434.125</v>
      </c>
      <c r="O25" s="21">
        <f t="shared" si="4"/>
        <v>1.5420698924731182</v>
      </c>
      <c r="P25" s="20">
        <f t="shared" si="4"/>
        <v>1547</v>
      </c>
      <c r="Q25" s="20">
        <f t="shared" si="4"/>
        <v>373.5</v>
      </c>
      <c r="R25" s="23">
        <f t="shared" si="4"/>
        <v>12</v>
      </c>
      <c r="S25" s="20">
        <f t="shared" si="4"/>
        <v>1515.875</v>
      </c>
      <c r="T25" s="21">
        <f t="shared" si="4"/>
        <v>1.6299731182795698</v>
      </c>
      <c r="U25" s="20">
        <f t="shared" si="4"/>
        <v>17.5</v>
      </c>
      <c r="V25" s="22">
        <f t="shared" si="4"/>
        <v>1.1262944379203587E-2</v>
      </c>
      <c r="W25" s="22">
        <f t="shared" si="4"/>
        <v>-5.2666201751381224E-2</v>
      </c>
      <c r="AA25" s="10"/>
      <c r="AB25" s="10"/>
    </row>
    <row r="26" spans="1:28" x14ac:dyDescent="0.25">
      <c r="A26" s="11" t="s">
        <v>42</v>
      </c>
      <c r="B26" t="s">
        <v>64</v>
      </c>
      <c r="C26" t="s">
        <v>65</v>
      </c>
      <c r="D26">
        <v>1028</v>
      </c>
      <c r="E26" s="15" t="s">
        <v>66</v>
      </c>
      <c r="F26" s="10">
        <v>46134</v>
      </c>
      <c r="G26" s="24">
        <f>ROUND((AB26-AA26)/30,0)</f>
        <v>12</v>
      </c>
      <c r="H26" s="11">
        <v>1647</v>
      </c>
      <c r="I26" s="11">
        <v>1830</v>
      </c>
      <c r="J26" s="11">
        <v>1830</v>
      </c>
      <c r="K26" s="11">
        <v>0</v>
      </c>
      <c r="L26" s="11">
        <f>J26+K26</f>
        <v>1830</v>
      </c>
      <c r="M26" s="14">
        <f>IFERROR(L26/I26,0)</f>
        <v>1</v>
      </c>
      <c r="N26" s="11">
        <f>IFERROR(((I26*G26)-L26)/G26,0)</f>
        <v>1677.5</v>
      </c>
      <c r="O26" s="16">
        <f>IFERROR(N26/D26,0)</f>
        <v>1.6318093385214008</v>
      </c>
      <c r="P26" s="11">
        <v>1810</v>
      </c>
      <c r="Q26" s="11">
        <v>0</v>
      </c>
      <c r="R26" s="24">
        <v>12</v>
      </c>
      <c r="S26" s="11">
        <f>IFERROR(((P26*R26)-Q26)/R26,0)</f>
        <v>1810</v>
      </c>
      <c r="T26" s="16">
        <f>IFERROR(S26/D26,0)</f>
        <v>1.7607003891050583</v>
      </c>
      <c r="U26" s="11">
        <f>I26-P26</f>
        <v>20</v>
      </c>
      <c r="V26" s="12">
        <f>IFERROR((I26-P26)/P26,0)</f>
        <v>1.1049723756906077E-2</v>
      </c>
      <c r="W26" s="13">
        <f>IFERROR((N26-S26)/S26,0)</f>
        <v>-7.3204419889502756E-2</v>
      </c>
      <c r="AA26" s="10">
        <v>46134</v>
      </c>
      <c r="AB26" s="10">
        <v>46498</v>
      </c>
    </row>
    <row r="27" spans="1:28" x14ac:dyDescent="0.25">
      <c r="A27" s="11"/>
      <c r="B27" s="17"/>
      <c r="C27" s="17" t="s">
        <v>67</v>
      </c>
      <c r="D27" s="17"/>
      <c r="E27" s="18"/>
      <c r="F27" s="17"/>
      <c r="G27" s="23">
        <f t="shared" ref="G27:W27" si="5">SUBTOTAL(1,G26)</f>
        <v>12</v>
      </c>
      <c r="H27" s="20">
        <f t="shared" si="5"/>
        <v>1647</v>
      </c>
      <c r="I27" s="20">
        <f t="shared" si="5"/>
        <v>1830</v>
      </c>
      <c r="J27" s="20">
        <f t="shared" si="5"/>
        <v>1830</v>
      </c>
      <c r="K27" s="20">
        <f t="shared" si="5"/>
        <v>0</v>
      </c>
      <c r="L27" s="20">
        <f t="shared" si="5"/>
        <v>1830</v>
      </c>
      <c r="M27" s="19">
        <f t="shared" si="5"/>
        <v>1</v>
      </c>
      <c r="N27" s="20">
        <f t="shared" si="5"/>
        <v>1677.5</v>
      </c>
      <c r="O27" s="21">
        <f t="shared" si="5"/>
        <v>1.6318093385214008</v>
      </c>
      <c r="P27" s="20">
        <f t="shared" si="5"/>
        <v>1810</v>
      </c>
      <c r="Q27" s="20">
        <f t="shared" si="5"/>
        <v>0</v>
      </c>
      <c r="R27" s="23">
        <f t="shared" si="5"/>
        <v>12</v>
      </c>
      <c r="S27" s="20">
        <f t="shared" si="5"/>
        <v>1810</v>
      </c>
      <c r="T27" s="21">
        <f t="shared" si="5"/>
        <v>1.7607003891050583</v>
      </c>
      <c r="U27" s="20">
        <f t="shared" si="5"/>
        <v>20</v>
      </c>
      <c r="V27" s="22">
        <f t="shared" si="5"/>
        <v>1.1049723756906077E-2</v>
      </c>
      <c r="W27" s="22">
        <f t="shared" si="5"/>
        <v>-7.3204419889502756E-2</v>
      </c>
      <c r="AA27" s="10"/>
      <c r="AB27" s="10"/>
    </row>
    <row r="28" spans="1:28" x14ac:dyDescent="0.25">
      <c r="A28" s="11" t="s">
        <v>42</v>
      </c>
      <c r="B28" t="s">
        <v>68</v>
      </c>
      <c r="C28" t="s">
        <v>72</v>
      </c>
      <c r="D28">
        <v>1130</v>
      </c>
      <c r="E28" s="15" t="s">
        <v>73</v>
      </c>
      <c r="F28" s="10">
        <v>46171</v>
      </c>
      <c r="G28" s="24">
        <f>ROUND((AB28-AA28)/30,0)</f>
        <v>12</v>
      </c>
      <c r="H28" s="11">
        <v>1615</v>
      </c>
      <c r="I28" s="11">
        <v>1885</v>
      </c>
      <c r="J28" s="11">
        <v>0</v>
      </c>
      <c r="K28" s="11">
        <v>0</v>
      </c>
      <c r="L28" s="11">
        <f>J28+K28</f>
        <v>0</v>
      </c>
      <c r="M28" s="14">
        <f>IFERROR(L28/I28,0)</f>
        <v>0</v>
      </c>
      <c r="N28" s="11">
        <f>IFERROR(((I28*G28)-L28)/G28,0)</f>
        <v>1885</v>
      </c>
      <c r="O28" s="16">
        <f>IFERROR(N28/D28,0)</f>
        <v>1.668141592920354</v>
      </c>
      <c r="P28" s="11">
        <v>1870</v>
      </c>
      <c r="Q28" s="11">
        <v>0</v>
      </c>
      <c r="R28" s="24">
        <v>7</v>
      </c>
      <c r="S28" s="11">
        <f>IFERROR(((P28*R28)-Q28)/R28,0)</f>
        <v>1870</v>
      </c>
      <c r="T28" s="16">
        <f>IFERROR(S28/D28,0)</f>
        <v>1.654867256637168</v>
      </c>
      <c r="U28" s="11">
        <f>I28-P28</f>
        <v>15</v>
      </c>
      <c r="V28" s="12">
        <f>IFERROR((I28-P28)/P28,0)</f>
        <v>8.0213903743315516E-3</v>
      </c>
      <c r="W28" s="13">
        <f>IFERROR((N28-S28)/S28,0)</f>
        <v>8.0213903743315516E-3</v>
      </c>
      <c r="AA28" s="10">
        <v>46171</v>
      </c>
      <c r="AB28" s="10">
        <v>46535</v>
      </c>
    </row>
    <row r="29" spans="1:28" x14ac:dyDescent="0.25">
      <c r="A29" s="11" t="s">
        <v>42</v>
      </c>
      <c r="B29" t="s">
        <v>74</v>
      </c>
      <c r="C29" t="s">
        <v>72</v>
      </c>
      <c r="D29">
        <v>1130</v>
      </c>
      <c r="E29" s="15" t="s">
        <v>69</v>
      </c>
      <c r="F29" s="10">
        <v>46194</v>
      </c>
      <c r="G29" s="24">
        <f>ROUND((AB29-AA29)/30,0)</f>
        <v>12</v>
      </c>
      <c r="H29" s="11">
        <v>1440</v>
      </c>
      <c r="I29" s="11">
        <v>1799</v>
      </c>
      <c r="J29" s="11">
        <v>0</v>
      </c>
      <c r="K29" s="11">
        <v>0</v>
      </c>
      <c r="L29" s="11">
        <f>J29+K29</f>
        <v>0</v>
      </c>
      <c r="M29" s="14">
        <f>IFERROR(L29/I29,0)</f>
        <v>0</v>
      </c>
      <c r="N29" s="11">
        <f>IFERROR(((I29*G29)-L29)/G29,0)</f>
        <v>1799</v>
      </c>
      <c r="O29" s="16">
        <f>IFERROR(N29/D29,0)</f>
        <v>1.5920353982300885</v>
      </c>
      <c r="P29" s="11">
        <v>1799</v>
      </c>
      <c r="Q29" s="11">
        <v>0</v>
      </c>
      <c r="R29" s="24">
        <v>12</v>
      </c>
      <c r="S29" s="11">
        <f>IFERROR(((P29*R29)-Q29)/R29,0)</f>
        <v>1799</v>
      </c>
      <c r="T29" s="16">
        <f>IFERROR(S29/D29,0)</f>
        <v>1.5920353982300885</v>
      </c>
      <c r="U29" s="11">
        <f>I29-P29</f>
        <v>0</v>
      </c>
      <c r="V29" s="12">
        <f>IFERROR((I29-P29)/P29,0)</f>
        <v>0</v>
      </c>
      <c r="W29" s="13">
        <f>IFERROR((N29-S29)/S29,0)</f>
        <v>0</v>
      </c>
      <c r="AA29" s="10">
        <v>46194</v>
      </c>
      <c r="AB29" s="10">
        <v>46558</v>
      </c>
    </row>
    <row r="30" spans="1:28" x14ac:dyDescent="0.25">
      <c r="A30" s="11"/>
      <c r="B30" s="17"/>
      <c r="C30" s="17" t="s">
        <v>70</v>
      </c>
      <c r="D30" s="17"/>
      <c r="E30" s="18"/>
      <c r="F30" s="17"/>
      <c r="G30" s="23">
        <f t="shared" ref="G30:W30" si="6">SUBTOTAL(1,G28:G29)</f>
        <v>12</v>
      </c>
      <c r="H30" s="20">
        <f t="shared" si="6"/>
        <v>1527.5</v>
      </c>
      <c r="I30" s="20">
        <f t="shared" si="6"/>
        <v>1842</v>
      </c>
      <c r="J30" s="20">
        <f t="shared" si="6"/>
        <v>0</v>
      </c>
      <c r="K30" s="20">
        <f t="shared" si="6"/>
        <v>0</v>
      </c>
      <c r="L30" s="20">
        <f t="shared" si="6"/>
        <v>0</v>
      </c>
      <c r="M30" s="19">
        <f t="shared" si="6"/>
        <v>0</v>
      </c>
      <c r="N30" s="20">
        <f t="shared" si="6"/>
        <v>1842</v>
      </c>
      <c r="O30" s="21">
        <f t="shared" si="6"/>
        <v>1.6300884955752213</v>
      </c>
      <c r="P30" s="20">
        <f t="shared" si="6"/>
        <v>1834.5</v>
      </c>
      <c r="Q30" s="20">
        <f t="shared" si="6"/>
        <v>0</v>
      </c>
      <c r="R30" s="23">
        <f t="shared" si="6"/>
        <v>9.5</v>
      </c>
      <c r="S30" s="20">
        <f t="shared" si="6"/>
        <v>1834.5</v>
      </c>
      <c r="T30" s="21">
        <f t="shared" si="6"/>
        <v>1.6234513274336284</v>
      </c>
      <c r="U30" s="20">
        <f t="shared" si="6"/>
        <v>7.5</v>
      </c>
      <c r="V30" s="22">
        <f t="shared" si="6"/>
        <v>4.0106951871657758E-3</v>
      </c>
      <c r="W30" s="22">
        <f t="shared" si="6"/>
        <v>4.0106951871657758E-3</v>
      </c>
      <c r="AA30" s="10"/>
      <c r="AB30" s="10"/>
    </row>
    <row r="31" spans="1:28" x14ac:dyDescent="0.25">
      <c r="A31" s="11" t="s">
        <v>42</v>
      </c>
      <c r="B31" t="s">
        <v>71</v>
      </c>
      <c r="C31" t="s">
        <v>81</v>
      </c>
      <c r="D31">
        <v>550</v>
      </c>
      <c r="E31" s="15" t="s">
        <v>82</v>
      </c>
      <c r="F31" s="10">
        <v>46143</v>
      </c>
      <c r="G31" s="24">
        <f>ROUND((AB31-AA31)/30,0)</f>
        <v>12</v>
      </c>
      <c r="H31" s="11">
        <v>986</v>
      </c>
      <c r="I31" s="11">
        <v>1055</v>
      </c>
      <c r="J31" s="11">
        <v>1055</v>
      </c>
      <c r="K31" s="11">
        <v>0</v>
      </c>
      <c r="L31" s="11">
        <f>J31+K31</f>
        <v>1055</v>
      </c>
      <c r="M31" s="14">
        <f>IFERROR(L31/I31,0)</f>
        <v>1</v>
      </c>
      <c r="N31" s="11">
        <f>IFERROR(((I31*G31)-L31)/G31,0)</f>
        <v>967.08333333333337</v>
      </c>
      <c r="O31" s="16">
        <f>IFERROR(N31/D31,0)</f>
        <v>1.7583333333333333</v>
      </c>
      <c r="P31" s="11">
        <v>1035</v>
      </c>
      <c r="Q31" s="11">
        <v>0</v>
      </c>
      <c r="R31" s="24">
        <v>12</v>
      </c>
      <c r="S31" s="11">
        <f>IFERROR(((P31*R31)-Q31)/R31,0)</f>
        <v>1035</v>
      </c>
      <c r="T31" s="16">
        <f>IFERROR(S31/D31,0)</f>
        <v>1.8818181818181818</v>
      </c>
      <c r="U31" s="11">
        <f>I31-P31</f>
        <v>20</v>
      </c>
      <c r="V31" s="12">
        <f>IFERROR((I31-P31)/P31,0)</f>
        <v>1.932367149758454E-2</v>
      </c>
      <c r="W31" s="13">
        <f>IFERROR((N31-S31)/S31,0)</f>
        <v>-6.5619967793880796E-2</v>
      </c>
      <c r="AA31" s="10">
        <v>46143</v>
      </c>
      <c r="AB31" s="10">
        <v>46507</v>
      </c>
    </row>
    <row r="32" spans="1:28" x14ac:dyDescent="0.25">
      <c r="A32" s="11" t="s">
        <v>42</v>
      </c>
      <c r="B32" t="s">
        <v>83</v>
      </c>
      <c r="C32" t="s">
        <v>81</v>
      </c>
      <c r="D32">
        <v>550</v>
      </c>
      <c r="E32" s="15" t="s">
        <v>84</v>
      </c>
      <c r="F32" s="10">
        <v>46139</v>
      </c>
      <c r="G32" s="24">
        <f>ROUND((AB32-AA32)/30,0)</f>
        <v>12</v>
      </c>
      <c r="H32" s="11">
        <v>1111</v>
      </c>
      <c r="I32" s="11">
        <v>1341</v>
      </c>
      <c r="J32" s="11">
        <v>0</v>
      </c>
      <c r="K32" s="11">
        <v>0</v>
      </c>
      <c r="L32" s="11">
        <f>J32+K32</f>
        <v>0</v>
      </c>
      <c r="M32" s="14">
        <f>IFERROR(L32/I32,0)</f>
        <v>0</v>
      </c>
      <c r="N32" s="11">
        <f>IFERROR(((I32*G32)-L32)/G32,0)</f>
        <v>1341</v>
      </c>
      <c r="O32" s="16">
        <f>IFERROR(N32/D32,0)</f>
        <v>2.438181818181818</v>
      </c>
      <c r="P32" s="11">
        <v>1321</v>
      </c>
      <c r="Q32" s="11">
        <v>0</v>
      </c>
      <c r="R32" s="24">
        <v>12</v>
      </c>
      <c r="S32" s="11">
        <f>IFERROR(((P32*R32)-Q32)/R32,0)</f>
        <v>1321</v>
      </c>
      <c r="T32" s="16">
        <f>IFERROR(S32/D32,0)</f>
        <v>2.4018181818181819</v>
      </c>
      <c r="U32" s="11">
        <f>I32-P32</f>
        <v>20</v>
      </c>
      <c r="V32" s="12">
        <f>IFERROR((I32-P32)/P32,0)</f>
        <v>1.514004542013626E-2</v>
      </c>
      <c r="W32" s="13">
        <f>IFERROR((N32-S32)/S32,0)</f>
        <v>1.514004542013626E-2</v>
      </c>
      <c r="AA32" s="10">
        <v>46139</v>
      </c>
      <c r="AB32" s="10">
        <v>46503</v>
      </c>
    </row>
    <row r="33" spans="1:28" x14ac:dyDescent="0.25">
      <c r="A33" s="11" t="s">
        <v>42</v>
      </c>
      <c r="B33" t="s">
        <v>85</v>
      </c>
      <c r="C33" t="s">
        <v>81</v>
      </c>
      <c r="D33">
        <v>550</v>
      </c>
      <c r="E33" s="15" t="s">
        <v>86</v>
      </c>
      <c r="F33" s="10">
        <v>46158</v>
      </c>
      <c r="G33" s="24">
        <f>ROUND((AB33-AA33)/30,0)</f>
        <v>12</v>
      </c>
      <c r="H33" s="11">
        <v>1086</v>
      </c>
      <c r="I33" s="11">
        <v>1281</v>
      </c>
      <c r="J33" s="11">
        <v>1528.94</v>
      </c>
      <c r="K33" s="11">
        <v>0</v>
      </c>
      <c r="L33" s="11">
        <f>J33+K33</f>
        <v>1528.94</v>
      </c>
      <c r="M33" s="14">
        <f>IFERROR(L33/I33,0)</f>
        <v>1.1935519125683061</v>
      </c>
      <c r="N33" s="11">
        <f>IFERROR(((I33*G33)-L33)/G33,0)</f>
        <v>1153.5883333333334</v>
      </c>
      <c r="O33" s="16">
        <f>IFERROR(N33/D33,0)</f>
        <v>2.0974333333333335</v>
      </c>
      <c r="P33" s="11">
        <v>1266</v>
      </c>
      <c r="Q33" s="11">
        <v>0</v>
      </c>
      <c r="R33" s="24">
        <v>12</v>
      </c>
      <c r="S33" s="11">
        <f>IFERROR(((P33*R33)-Q33)/R33,0)</f>
        <v>1266</v>
      </c>
      <c r="T33" s="16">
        <f>IFERROR(S33/D33,0)</f>
        <v>2.3018181818181818</v>
      </c>
      <c r="U33" s="11">
        <f>I33-P33</f>
        <v>15</v>
      </c>
      <c r="V33" s="12">
        <f>IFERROR((I33-P33)/P33,0)</f>
        <v>1.1848341232227487E-2</v>
      </c>
      <c r="W33" s="13">
        <f>IFERROR((N33-S33)/S33,0)</f>
        <v>-8.8792785676671912E-2</v>
      </c>
      <c r="AA33" s="10">
        <v>46158</v>
      </c>
      <c r="AB33" s="10">
        <v>46522</v>
      </c>
    </row>
    <row r="34" spans="1:28" x14ac:dyDescent="0.25">
      <c r="A34" s="11" t="s">
        <v>42</v>
      </c>
      <c r="B34" t="s">
        <v>87</v>
      </c>
      <c r="C34" t="s">
        <v>81</v>
      </c>
      <c r="D34">
        <v>550</v>
      </c>
      <c r="E34" s="15" t="s">
        <v>88</v>
      </c>
      <c r="F34" s="10">
        <v>46135</v>
      </c>
      <c r="G34" s="24">
        <f>ROUND((AB34-AA34)/30,0)</f>
        <v>12</v>
      </c>
      <c r="H34" s="11">
        <v>1161</v>
      </c>
      <c r="I34" s="11">
        <v>1395</v>
      </c>
      <c r="J34" s="11">
        <v>0</v>
      </c>
      <c r="K34" s="11">
        <v>0</v>
      </c>
      <c r="L34" s="11">
        <f>J34+K34</f>
        <v>0</v>
      </c>
      <c r="M34" s="14">
        <f>IFERROR(L34/I34,0)</f>
        <v>0</v>
      </c>
      <c r="N34" s="11">
        <f>IFERROR(((I34*G34)-L34)/G34,0)</f>
        <v>1395</v>
      </c>
      <c r="O34" s="16">
        <f>IFERROR(N34/D34,0)</f>
        <v>2.5363636363636362</v>
      </c>
      <c r="P34" s="11">
        <v>1375</v>
      </c>
      <c r="Q34" s="11">
        <v>0</v>
      </c>
      <c r="R34" s="24">
        <v>12</v>
      </c>
      <c r="S34" s="11">
        <f>IFERROR(((P34*R34)-Q34)/R34,0)</f>
        <v>1375</v>
      </c>
      <c r="T34" s="16">
        <f>IFERROR(S34/D34,0)</f>
        <v>2.5</v>
      </c>
      <c r="U34" s="11">
        <f>I34-P34</f>
        <v>20</v>
      </c>
      <c r="V34" s="12">
        <f>IFERROR((I34-P34)/P34,0)</f>
        <v>1.4545454545454545E-2</v>
      </c>
      <c r="W34" s="13">
        <f>IFERROR((N34-S34)/S34,0)</f>
        <v>1.4545454545454545E-2</v>
      </c>
      <c r="AA34" s="10">
        <v>46135</v>
      </c>
      <c r="AB34" s="10">
        <v>46499</v>
      </c>
    </row>
    <row r="35" spans="1:28" x14ac:dyDescent="0.25">
      <c r="A35" s="11"/>
      <c r="B35" s="17"/>
      <c r="C35" s="17" t="s">
        <v>89</v>
      </c>
      <c r="D35" s="17"/>
      <c r="E35" s="18"/>
      <c r="F35" s="17"/>
      <c r="G35" s="23">
        <f t="shared" ref="G35:W35" si="7">SUBTOTAL(1,G31:G34)</f>
        <v>12</v>
      </c>
      <c r="H35" s="20">
        <f t="shared" si="7"/>
        <v>1086</v>
      </c>
      <c r="I35" s="20">
        <f t="shared" si="7"/>
        <v>1268</v>
      </c>
      <c r="J35" s="20">
        <f t="shared" si="7"/>
        <v>645.98500000000001</v>
      </c>
      <c r="K35" s="20">
        <f t="shared" si="7"/>
        <v>0</v>
      </c>
      <c r="L35" s="20">
        <f t="shared" si="7"/>
        <v>645.98500000000001</v>
      </c>
      <c r="M35" s="19">
        <f t="shared" si="7"/>
        <v>0.54838797814207652</v>
      </c>
      <c r="N35" s="20">
        <f t="shared" si="7"/>
        <v>1214.1679166666668</v>
      </c>
      <c r="O35" s="21">
        <f t="shared" si="7"/>
        <v>2.2075780303030301</v>
      </c>
      <c r="P35" s="20">
        <f t="shared" si="7"/>
        <v>1249.25</v>
      </c>
      <c r="Q35" s="20">
        <f t="shared" si="7"/>
        <v>0</v>
      </c>
      <c r="R35" s="23">
        <f t="shared" si="7"/>
        <v>12</v>
      </c>
      <c r="S35" s="20">
        <f t="shared" si="7"/>
        <v>1249.25</v>
      </c>
      <c r="T35" s="21">
        <f t="shared" si="7"/>
        <v>2.2713636363636365</v>
      </c>
      <c r="U35" s="20">
        <f t="shared" si="7"/>
        <v>18.75</v>
      </c>
      <c r="V35" s="22">
        <f t="shared" si="7"/>
        <v>1.5214378173850709E-2</v>
      </c>
      <c r="W35" s="22">
        <f t="shared" si="7"/>
        <v>-3.1181813376240475E-2</v>
      </c>
      <c r="AA35" s="10"/>
      <c r="AB35" s="10"/>
    </row>
    <row r="36" spans="1:28" x14ac:dyDescent="0.25">
      <c r="A36" s="11" t="s">
        <v>42</v>
      </c>
      <c r="B36" t="s">
        <v>90</v>
      </c>
      <c r="C36" t="s">
        <v>91</v>
      </c>
      <c r="D36">
        <v>500</v>
      </c>
      <c r="E36" s="15" t="s">
        <v>92</v>
      </c>
      <c r="F36" s="10">
        <v>46154</v>
      </c>
      <c r="G36" s="24">
        <f>ROUND((AB36-AA36)/30,0)</f>
        <v>12</v>
      </c>
      <c r="H36" s="11">
        <v>1050</v>
      </c>
      <c r="I36" s="11">
        <v>1105</v>
      </c>
      <c r="J36" s="11">
        <v>2210</v>
      </c>
      <c r="K36" s="11">
        <v>0</v>
      </c>
      <c r="L36" s="11">
        <f>J36+K36</f>
        <v>2210</v>
      </c>
      <c r="M36" s="14">
        <f>IFERROR(L36/I36,0)</f>
        <v>2</v>
      </c>
      <c r="N36" s="11">
        <f>IFERROR(((I36*G36)-L36)/G36,0)</f>
        <v>920.83333333333337</v>
      </c>
      <c r="O36" s="16">
        <f>IFERROR(N36/D36,0)</f>
        <v>1.8416666666666668</v>
      </c>
      <c r="P36" s="11">
        <v>1090</v>
      </c>
      <c r="Q36" s="11">
        <v>545</v>
      </c>
      <c r="R36" s="24">
        <v>12</v>
      </c>
      <c r="S36" s="11">
        <f>IFERROR(((P36*R36)-Q36)/R36,0)</f>
        <v>1044.5833333333333</v>
      </c>
      <c r="T36" s="16">
        <f>IFERROR(S36/D36,0)</f>
        <v>2.0891666666666664</v>
      </c>
      <c r="U36" s="11">
        <f>I36-P36</f>
        <v>15</v>
      </c>
      <c r="V36" s="12">
        <f>IFERROR((I36-P36)/P36,0)</f>
        <v>1.3761467889908258E-2</v>
      </c>
      <c r="W36" s="13">
        <f>IFERROR((N36-S36)/S36,0)</f>
        <v>-0.11846828879138402</v>
      </c>
      <c r="AA36" s="10">
        <v>46154</v>
      </c>
      <c r="AB36" s="10">
        <v>46518</v>
      </c>
    </row>
    <row r="37" spans="1:28" x14ac:dyDescent="0.25">
      <c r="A37" s="11" t="s">
        <v>42</v>
      </c>
      <c r="B37" t="s">
        <v>93</v>
      </c>
      <c r="C37" t="s">
        <v>91</v>
      </c>
      <c r="D37">
        <v>500</v>
      </c>
      <c r="E37" s="15" t="s">
        <v>94</v>
      </c>
      <c r="F37" s="10">
        <v>46203</v>
      </c>
      <c r="G37" s="24">
        <f>ROUND((AB37-AA37)/30,0)</f>
        <v>12</v>
      </c>
      <c r="H37" s="11">
        <v>1010</v>
      </c>
      <c r="I37" s="11">
        <v>1250</v>
      </c>
      <c r="J37" s="11">
        <v>0</v>
      </c>
      <c r="K37" s="11">
        <v>0</v>
      </c>
      <c r="L37" s="11">
        <f>J37+K37</f>
        <v>0</v>
      </c>
      <c r="M37" s="14">
        <f>IFERROR(L37/I37,0)</f>
        <v>0</v>
      </c>
      <c r="N37" s="11">
        <f>IFERROR(((I37*G37)-L37)/G37,0)</f>
        <v>1250</v>
      </c>
      <c r="O37" s="16">
        <f>IFERROR(N37/D37,0)</f>
        <v>2.5</v>
      </c>
      <c r="P37" s="11">
        <v>1250</v>
      </c>
      <c r="Q37" s="11">
        <v>0</v>
      </c>
      <c r="R37" s="24">
        <v>12</v>
      </c>
      <c r="S37" s="11">
        <f>IFERROR(((P37*R37)-Q37)/R37,0)</f>
        <v>1250</v>
      </c>
      <c r="T37" s="16">
        <f>IFERROR(S37/D37,0)</f>
        <v>2.5</v>
      </c>
      <c r="U37" s="11">
        <f>I37-P37</f>
        <v>0</v>
      </c>
      <c r="V37" s="12">
        <f>IFERROR((I37-P37)/P37,0)</f>
        <v>0</v>
      </c>
      <c r="W37" s="13">
        <f>IFERROR((N37-S37)/S37,0)</f>
        <v>0</v>
      </c>
      <c r="AA37" s="10">
        <v>46203</v>
      </c>
      <c r="AB37" s="10">
        <v>46567</v>
      </c>
    </row>
    <row r="38" spans="1:28" x14ac:dyDescent="0.25">
      <c r="A38" s="11" t="s">
        <v>42</v>
      </c>
      <c r="B38" t="s">
        <v>95</v>
      </c>
      <c r="C38" t="s">
        <v>91</v>
      </c>
      <c r="D38">
        <v>500</v>
      </c>
      <c r="E38" s="15" t="s">
        <v>96</v>
      </c>
      <c r="F38" s="10">
        <v>46175</v>
      </c>
      <c r="G38" s="24">
        <f>ROUND((AB38-AA38)/30,0)</f>
        <v>12</v>
      </c>
      <c r="H38" s="11">
        <v>1035</v>
      </c>
      <c r="I38" s="11">
        <v>1100</v>
      </c>
      <c r="J38" s="11">
        <v>0</v>
      </c>
      <c r="K38" s="11">
        <v>0</v>
      </c>
      <c r="L38" s="11">
        <f>J38+K38</f>
        <v>0</v>
      </c>
      <c r="M38" s="14">
        <f>IFERROR(L38/I38,0)</f>
        <v>0</v>
      </c>
      <c r="N38" s="11">
        <f>IFERROR(((I38*G38)-L38)/G38,0)</f>
        <v>1100</v>
      </c>
      <c r="O38" s="16">
        <f>IFERROR(N38/D38,0)</f>
        <v>2.2000000000000002</v>
      </c>
      <c r="P38" s="11">
        <v>1075</v>
      </c>
      <c r="Q38" s="11">
        <v>1612.5</v>
      </c>
      <c r="R38" s="24">
        <v>12</v>
      </c>
      <c r="S38" s="11">
        <f>IFERROR(((P38*R38)-Q38)/R38,0)</f>
        <v>940.625</v>
      </c>
      <c r="T38" s="16">
        <f>IFERROR(S38/D38,0)</f>
        <v>1.8812500000000001</v>
      </c>
      <c r="U38" s="11">
        <f>I38-P38</f>
        <v>25</v>
      </c>
      <c r="V38" s="12">
        <f>IFERROR((I38-P38)/P38,0)</f>
        <v>2.3255813953488372E-2</v>
      </c>
      <c r="W38" s="13">
        <f>IFERROR((N38-S38)/S38,0)</f>
        <v>0.16943521594684385</v>
      </c>
      <c r="AA38" s="10">
        <v>46175</v>
      </c>
      <c r="AB38" s="10">
        <v>46539</v>
      </c>
    </row>
    <row r="39" spans="1:28" x14ac:dyDescent="0.25">
      <c r="A39" s="11"/>
      <c r="B39" s="17"/>
      <c r="C39" s="17" t="s">
        <v>97</v>
      </c>
      <c r="D39" s="17"/>
      <c r="E39" s="18"/>
      <c r="F39" s="17"/>
      <c r="G39" s="23">
        <f t="shared" ref="G39:W39" si="8">SUBTOTAL(1,G36:G38)</f>
        <v>12</v>
      </c>
      <c r="H39" s="20">
        <f t="shared" si="8"/>
        <v>1031.6666666666667</v>
      </c>
      <c r="I39" s="20">
        <f t="shared" si="8"/>
        <v>1151.6666666666667</v>
      </c>
      <c r="J39" s="20">
        <f t="shared" si="8"/>
        <v>736.66666666666663</v>
      </c>
      <c r="K39" s="20">
        <f t="shared" si="8"/>
        <v>0</v>
      </c>
      <c r="L39" s="20">
        <f t="shared" si="8"/>
        <v>736.66666666666663</v>
      </c>
      <c r="M39" s="19">
        <f t="shared" si="8"/>
        <v>0.66666666666666663</v>
      </c>
      <c r="N39" s="20">
        <f t="shared" si="8"/>
        <v>1090.2777777777778</v>
      </c>
      <c r="O39" s="21">
        <f t="shared" si="8"/>
        <v>2.1805555555555558</v>
      </c>
      <c r="P39" s="20">
        <f t="shared" si="8"/>
        <v>1138.3333333333333</v>
      </c>
      <c r="Q39" s="20">
        <f t="shared" si="8"/>
        <v>719.16666666666663</v>
      </c>
      <c r="R39" s="23">
        <f t="shared" si="8"/>
        <v>12</v>
      </c>
      <c r="S39" s="20">
        <f t="shared" si="8"/>
        <v>1078.4027777777776</v>
      </c>
      <c r="T39" s="21">
        <f t="shared" si="8"/>
        <v>2.1568055555555556</v>
      </c>
      <c r="U39" s="20">
        <f t="shared" si="8"/>
        <v>13.333333333333334</v>
      </c>
      <c r="V39" s="22">
        <f t="shared" si="8"/>
        <v>1.2339093947798876E-2</v>
      </c>
      <c r="W39" s="22">
        <f t="shared" si="8"/>
        <v>1.698897571848661E-2</v>
      </c>
      <c r="AA39" s="10"/>
      <c r="AB39" s="10"/>
    </row>
    <row r="40" spans="1:28" x14ac:dyDescent="0.25">
      <c r="B40" s="17" t="s">
        <v>98</v>
      </c>
      <c r="C40" s="17"/>
      <c r="D40" s="17"/>
      <c r="E40" s="18"/>
      <c r="F40" s="17"/>
      <c r="G40" s="23">
        <f t="shared" ref="G40:W40" si="9">SUBTOTAL(1,G6:G39)</f>
        <v>12</v>
      </c>
      <c r="H40" s="20">
        <f t="shared" si="9"/>
        <v>1263.1199999999999</v>
      </c>
      <c r="I40" s="20">
        <f t="shared" si="9"/>
        <v>1473.28</v>
      </c>
      <c r="J40" s="20">
        <f t="shared" si="9"/>
        <v>609.73760000000004</v>
      </c>
      <c r="K40" s="20">
        <f t="shared" si="9"/>
        <v>0</v>
      </c>
      <c r="L40" s="20">
        <f t="shared" si="9"/>
        <v>609.73760000000004</v>
      </c>
      <c r="M40" s="19">
        <f t="shared" si="9"/>
        <v>0.42719396444426699</v>
      </c>
      <c r="N40" s="20">
        <f t="shared" si="9"/>
        <v>1422.4685333333334</v>
      </c>
      <c r="O40" s="21">
        <f t="shared" si="9"/>
        <v>1.9557245520366695</v>
      </c>
      <c r="P40" s="20">
        <f t="shared" si="9"/>
        <v>1462.64</v>
      </c>
      <c r="Q40" s="20">
        <f t="shared" si="9"/>
        <v>400.78</v>
      </c>
      <c r="R40" s="23">
        <f t="shared" si="9"/>
        <v>11.56</v>
      </c>
      <c r="S40" s="20">
        <f t="shared" si="9"/>
        <v>1428.1483333333335</v>
      </c>
      <c r="T40" s="21">
        <f t="shared" si="9"/>
        <v>1.959569255500734</v>
      </c>
      <c r="U40" s="20">
        <f t="shared" si="9"/>
        <v>10.64</v>
      </c>
      <c r="V40" s="22">
        <f t="shared" si="9"/>
        <v>7.7367210371727E-3</v>
      </c>
      <c r="W40" s="22">
        <f t="shared" si="9"/>
        <v>-3.3241379101502712E-4</v>
      </c>
    </row>
    <row r="42" spans="1:28" ht="21" x14ac:dyDescent="0.35">
      <c r="B42" s="1" t="s">
        <v>60</v>
      </c>
    </row>
    <row r="43" spans="1:28" ht="15.75" x14ac:dyDescent="0.25">
      <c r="B43" s="2" t="s">
        <v>99</v>
      </c>
    </row>
    <row r="45" spans="1:28" x14ac:dyDescent="0.25">
      <c r="B45" s="28"/>
      <c r="C45" s="29"/>
      <c r="D45" s="29"/>
      <c r="E45" s="30"/>
      <c r="F45" s="25" t="s">
        <v>19</v>
      </c>
      <c r="G45" s="26"/>
      <c r="H45" s="26"/>
      <c r="I45" s="26"/>
      <c r="J45" s="26"/>
      <c r="K45" s="26"/>
      <c r="L45" s="26"/>
      <c r="M45" s="26"/>
      <c r="N45" s="26"/>
      <c r="O45" s="27"/>
      <c r="P45" s="25" t="s">
        <v>20</v>
      </c>
      <c r="Q45" s="26"/>
      <c r="R45" s="26"/>
      <c r="S45" s="26"/>
      <c r="T45" s="27"/>
      <c r="U45" s="28"/>
      <c r="V45" s="29"/>
      <c r="W45" s="30"/>
    </row>
    <row r="46" spans="1:28" ht="60" x14ac:dyDescent="0.25">
      <c r="B46" s="4" t="s">
        <v>1</v>
      </c>
      <c r="C46" s="5" t="s">
        <v>2</v>
      </c>
      <c r="D46" s="5" t="s">
        <v>3</v>
      </c>
      <c r="E46" s="6" t="s">
        <v>4</v>
      </c>
      <c r="F46" s="7" t="s">
        <v>59</v>
      </c>
      <c r="G46" s="8" t="s">
        <v>6</v>
      </c>
      <c r="H46" s="8" t="s">
        <v>7</v>
      </c>
      <c r="I46" s="8" t="s">
        <v>8</v>
      </c>
      <c r="J46" s="8" t="s">
        <v>9</v>
      </c>
      <c r="K46" s="8" t="s">
        <v>10</v>
      </c>
      <c r="L46" s="8" t="s">
        <v>11</v>
      </c>
      <c r="M46" s="8" t="s">
        <v>12</v>
      </c>
      <c r="N46" s="8" t="s">
        <v>13</v>
      </c>
      <c r="O46" s="9" t="s">
        <v>14</v>
      </c>
      <c r="P46" s="7" t="s">
        <v>8</v>
      </c>
      <c r="Q46" s="8" t="s">
        <v>11</v>
      </c>
      <c r="R46" s="8" t="s">
        <v>6</v>
      </c>
      <c r="S46" s="8" t="s">
        <v>13</v>
      </c>
      <c r="T46" s="9" t="s">
        <v>15</v>
      </c>
      <c r="U46" s="7" t="s">
        <v>16</v>
      </c>
      <c r="V46" s="8" t="s">
        <v>17</v>
      </c>
      <c r="W46" s="9" t="s">
        <v>18</v>
      </c>
    </row>
    <row r="47" spans="1:28" x14ac:dyDescent="0.25">
      <c r="A47" t="s">
        <v>42</v>
      </c>
      <c r="B47" t="s">
        <v>100</v>
      </c>
      <c r="C47" t="s">
        <v>46</v>
      </c>
      <c r="D47">
        <v>657</v>
      </c>
      <c r="E47" s="15" t="s">
        <v>101</v>
      </c>
      <c r="F47" s="10">
        <v>46199</v>
      </c>
      <c r="G47">
        <f>ROUND((AB47-AA47)/30,0)</f>
        <v>12</v>
      </c>
      <c r="H47" s="11">
        <v>1094</v>
      </c>
      <c r="I47" s="11">
        <v>1094</v>
      </c>
      <c r="J47" s="11">
        <v>0</v>
      </c>
      <c r="K47" s="11">
        <v>0</v>
      </c>
      <c r="L47" s="11">
        <f>J47+K47</f>
        <v>0</v>
      </c>
      <c r="M47" s="14">
        <f>IFERROR(L47/I47,0)</f>
        <v>0</v>
      </c>
      <c r="N47" s="11">
        <f>IFERROR(((I47*G47)-L47)/G47,0)</f>
        <v>1094</v>
      </c>
      <c r="O47" s="16">
        <f>IFERROR(N47/D47,0)</f>
        <v>1.665144596651446</v>
      </c>
      <c r="P47" s="11">
        <v>1330</v>
      </c>
      <c r="Q47" s="11">
        <v>2660</v>
      </c>
      <c r="R47" s="24">
        <v>12</v>
      </c>
      <c r="S47" s="11">
        <f>IFERROR(((P47*R47)-Q47)/R47,0)</f>
        <v>1108.3333333333333</v>
      </c>
      <c r="T47" s="16">
        <f>IFERROR(S47/D47,0)</f>
        <v>1.6869609335362759</v>
      </c>
      <c r="U47" s="11">
        <f>I47-P47</f>
        <v>-236</v>
      </c>
      <c r="V47" s="12">
        <f>IFERROR((I47-P47)/P47,0)</f>
        <v>-0.1774436090225564</v>
      </c>
      <c r="W47" s="13">
        <f>IFERROR((N47-S47)/S47,0)</f>
        <v>-1.2932330827067602E-2</v>
      </c>
      <c r="X47" s="11"/>
      <c r="AA47" s="10">
        <v>46199</v>
      </c>
      <c r="AB47" s="10">
        <v>46563</v>
      </c>
    </row>
    <row r="48" spans="1:28" x14ac:dyDescent="0.25">
      <c r="A48" t="s">
        <v>42</v>
      </c>
      <c r="B48" t="s">
        <v>56</v>
      </c>
      <c r="C48" t="s">
        <v>46</v>
      </c>
      <c r="D48">
        <v>657</v>
      </c>
      <c r="E48" s="15" t="s">
        <v>55</v>
      </c>
      <c r="F48" s="10">
        <v>46113</v>
      </c>
      <c r="G48">
        <f>ROUND((AB48-AA48)/30,0)</f>
        <v>15</v>
      </c>
      <c r="H48" s="11">
        <v>1219</v>
      </c>
      <c r="I48" s="11">
        <v>1059</v>
      </c>
      <c r="J48" s="11">
        <v>0</v>
      </c>
      <c r="K48" s="11">
        <v>0</v>
      </c>
      <c r="L48" s="11">
        <f>J48+K48</f>
        <v>0</v>
      </c>
      <c r="M48" s="14">
        <f>IFERROR(L48/I48,0)</f>
        <v>0</v>
      </c>
      <c r="N48" s="11">
        <f>IFERROR(((I48*G48)-L48)/G48,0)</f>
        <v>1059</v>
      </c>
      <c r="O48" s="16">
        <f>IFERROR(N48/D48,0)</f>
        <v>1.6118721461187215</v>
      </c>
      <c r="P48" s="11">
        <v>1330</v>
      </c>
      <c r="Q48" s="11">
        <v>2660</v>
      </c>
      <c r="R48" s="24">
        <v>12</v>
      </c>
      <c r="S48" s="11">
        <f>IFERROR(((P48*R48)-Q48)/R48,0)</f>
        <v>1108.3333333333333</v>
      </c>
      <c r="T48" s="16">
        <f>IFERROR(S48/D48,0)</f>
        <v>1.6869609335362759</v>
      </c>
      <c r="U48" s="11">
        <f>I48-P48</f>
        <v>-271</v>
      </c>
      <c r="V48" s="12">
        <f>IFERROR((I48-P48)/P48,0)</f>
        <v>-0.20375939849624061</v>
      </c>
      <c r="W48" s="13">
        <f>IFERROR((N48-S48)/S48,0)</f>
        <v>-4.4511278195488654E-2</v>
      </c>
      <c r="X48" s="11"/>
      <c r="AA48" s="10">
        <v>46113</v>
      </c>
      <c r="AB48" s="10">
        <v>46568</v>
      </c>
    </row>
    <row r="49" spans="1:28" x14ac:dyDescent="0.25">
      <c r="A49" t="s">
        <v>42</v>
      </c>
      <c r="B49" t="s">
        <v>54</v>
      </c>
      <c r="C49" t="s">
        <v>46</v>
      </c>
      <c r="D49">
        <v>657</v>
      </c>
      <c r="E49" s="15" t="s">
        <v>53</v>
      </c>
      <c r="F49" s="10">
        <v>46129</v>
      </c>
      <c r="G49">
        <f>ROUND((AB49-AA49)/30,0)</f>
        <v>12</v>
      </c>
      <c r="H49" s="11">
        <v>1144</v>
      </c>
      <c r="I49" s="11">
        <v>934</v>
      </c>
      <c r="J49" s="11">
        <v>0</v>
      </c>
      <c r="K49" s="11">
        <v>0</v>
      </c>
      <c r="L49" s="11">
        <f>J49+K49</f>
        <v>0</v>
      </c>
      <c r="M49" s="14">
        <f>IFERROR(L49/I49,0)</f>
        <v>0</v>
      </c>
      <c r="N49" s="11">
        <f>IFERROR(((I49*G49)-L49)/G49,0)</f>
        <v>934</v>
      </c>
      <c r="O49" s="16">
        <f>IFERROR(N49/D49,0)</f>
        <v>1.421613394216134</v>
      </c>
      <c r="P49" s="11">
        <v>1320</v>
      </c>
      <c r="Q49" s="11">
        <v>0</v>
      </c>
      <c r="R49" s="24">
        <v>12</v>
      </c>
      <c r="S49" s="11">
        <f>IFERROR(((P49*R49)-Q49)/R49,0)</f>
        <v>1320</v>
      </c>
      <c r="T49" s="16">
        <f>IFERROR(S49/D49,0)</f>
        <v>2.0091324200913241</v>
      </c>
      <c r="U49" s="11">
        <f>I49-P49</f>
        <v>-386</v>
      </c>
      <c r="V49" s="12">
        <f>IFERROR((I49-P49)/P49,0)</f>
        <v>-0.29242424242424242</v>
      </c>
      <c r="W49" s="13">
        <f>IFERROR((N49-S49)/S49,0)</f>
        <v>-0.29242424242424242</v>
      </c>
      <c r="X49" s="11"/>
      <c r="AA49" s="10">
        <v>46129</v>
      </c>
      <c r="AB49" s="10">
        <v>46493</v>
      </c>
    </row>
    <row r="50" spans="1:28" x14ac:dyDescent="0.25">
      <c r="A50" t="s">
        <v>42</v>
      </c>
      <c r="B50" t="s">
        <v>52</v>
      </c>
      <c r="C50" t="s">
        <v>46</v>
      </c>
      <c r="D50">
        <v>657</v>
      </c>
      <c r="E50" s="15" t="s">
        <v>102</v>
      </c>
      <c r="F50" s="10">
        <v>46190</v>
      </c>
      <c r="G50">
        <f>ROUND((AB50-AA50)/30,0)</f>
        <v>12</v>
      </c>
      <c r="H50" s="11">
        <v>1039</v>
      </c>
      <c r="I50" s="11">
        <v>1039</v>
      </c>
      <c r="J50" s="11">
        <v>0</v>
      </c>
      <c r="K50" s="11">
        <v>0</v>
      </c>
      <c r="L50" s="11">
        <f>J50+K50</f>
        <v>0</v>
      </c>
      <c r="M50" s="14">
        <f>IFERROR(L50/I50,0)</f>
        <v>0</v>
      </c>
      <c r="N50" s="11">
        <f>IFERROR(((I50*G50)-L50)/G50,0)</f>
        <v>1039</v>
      </c>
      <c r="O50" s="16">
        <f>IFERROR(N50/D50,0)</f>
        <v>1.5814307458143075</v>
      </c>
      <c r="P50" s="11">
        <v>990</v>
      </c>
      <c r="Q50" s="11">
        <v>476</v>
      </c>
      <c r="R50" s="24">
        <v>13</v>
      </c>
      <c r="S50" s="11">
        <f>IFERROR(((P50*R50)-Q50)/R50,0)</f>
        <v>953.38461538461536</v>
      </c>
      <c r="T50" s="16">
        <f>IFERROR(S50/D50,0)</f>
        <v>1.4511181360496428</v>
      </c>
      <c r="U50" s="11">
        <f>I50-P50</f>
        <v>49</v>
      </c>
      <c r="V50" s="12">
        <f>IFERROR((I50-P50)/P50,0)</f>
        <v>4.9494949494949494E-2</v>
      </c>
      <c r="W50" s="13">
        <f>IFERROR((N50-S50)/S50,0)</f>
        <v>8.9801516862998254E-2</v>
      </c>
      <c r="X50" s="11"/>
      <c r="AA50" s="10">
        <v>46190</v>
      </c>
      <c r="AB50" s="10">
        <v>46554</v>
      </c>
    </row>
    <row r="51" spans="1:28" x14ac:dyDescent="0.25">
      <c r="A51" t="s">
        <v>42</v>
      </c>
      <c r="B51" t="s">
        <v>103</v>
      </c>
      <c r="C51" t="s">
        <v>46</v>
      </c>
      <c r="D51">
        <v>657</v>
      </c>
      <c r="E51" s="15" t="s">
        <v>104</v>
      </c>
      <c r="F51" s="10">
        <v>46197</v>
      </c>
      <c r="G51">
        <f>ROUND((AB51-AA51)/30,0)</f>
        <v>15</v>
      </c>
      <c r="H51" s="11">
        <v>1174</v>
      </c>
      <c r="I51" s="11">
        <v>1139</v>
      </c>
      <c r="J51" s="11">
        <v>0</v>
      </c>
      <c r="K51" s="11">
        <v>0</v>
      </c>
      <c r="L51" s="11">
        <f>J51+K51</f>
        <v>0</v>
      </c>
      <c r="M51" s="14">
        <f>IFERROR(L51/I51,0)</f>
        <v>0</v>
      </c>
      <c r="N51" s="11">
        <f>IFERROR(((I51*G51)-L51)/G51,0)</f>
        <v>1139</v>
      </c>
      <c r="O51" s="16">
        <f>IFERROR(N51/D51,0)</f>
        <v>1.7336377473363775</v>
      </c>
      <c r="P51" s="11">
        <v>1059</v>
      </c>
      <c r="Q51" s="11">
        <v>250</v>
      </c>
      <c r="R51" s="24">
        <v>7</v>
      </c>
      <c r="S51" s="11">
        <f>IFERROR(((P51*R51)-Q51)/R51,0)</f>
        <v>1023.2857142857143</v>
      </c>
      <c r="T51" s="16">
        <f>IFERROR(S51/D51,0)</f>
        <v>1.5575125027179821</v>
      </c>
      <c r="U51" s="11">
        <f>I51-P51</f>
        <v>80</v>
      </c>
      <c r="V51" s="12">
        <f>IFERROR((I51-P51)/P51,0)</f>
        <v>7.5542965061378656E-2</v>
      </c>
      <c r="W51" s="13">
        <f>IFERROR((N51-S51)/S51,0)</f>
        <v>0.11308111126622918</v>
      </c>
      <c r="X51" s="11"/>
      <c r="AA51" s="10">
        <v>46197</v>
      </c>
      <c r="AB51" s="10">
        <v>46653</v>
      </c>
    </row>
    <row r="52" spans="1:28" x14ac:dyDescent="0.25">
      <c r="B52" s="17"/>
      <c r="C52" s="17" t="s">
        <v>25</v>
      </c>
      <c r="D52" s="17"/>
      <c r="E52" s="18"/>
      <c r="F52" s="17"/>
      <c r="G52" s="23">
        <f t="shared" ref="G52:W52" si="10">SUBTOTAL(1,G47:G51)</f>
        <v>13.2</v>
      </c>
      <c r="H52" s="20">
        <f t="shared" si="10"/>
        <v>1134</v>
      </c>
      <c r="I52" s="20">
        <f t="shared" si="10"/>
        <v>1053</v>
      </c>
      <c r="J52" s="20">
        <f t="shared" si="10"/>
        <v>0</v>
      </c>
      <c r="K52" s="20">
        <f t="shared" si="10"/>
        <v>0</v>
      </c>
      <c r="L52" s="20">
        <f t="shared" si="10"/>
        <v>0</v>
      </c>
      <c r="M52" s="19">
        <f t="shared" si="10"/>
        <v>0</v>
      </c>
      <c r="N52" s="20">
        <f t="shared" si="10"/>
        <v>1053</v>
      </c>
      <c r="O52" s="21">
        <f t="shared" si="10"/>
        <v>1.6027397260273972</v>
      </c>
      <c r="P52" s="20">
        <f t="shared" si="10"/>
        <v>1205.8</v>
      </c>
      <c r="Q52" s="20">
        <f t="shared" si="10"/>
        <v>1209.2</v>
      </c>
      <c r="R52" s="23">
        <f t="shared" si="10"/>
        <v>11.2</v>
      </c>
      <c r="S52" s="20">
        <f t="shared" si="10"/>
        <v>1102.6673992673993</v>
      </c>
      <c r="T52" s="21">
        <f t="shared" si="10"/>
        <v>1.6783369851863004</v>
      </c>
      <c r="U52" s="20">
        <f t="shared" si="10"/>
        <v>-152.80000000000001</v>
      </c>
      <c r="V52" s="22">
        <f t="shared" si="10"/>
        <v>-0.10971786707734224</v>
      </c>
      <c r="W52" s="22">
        <f t="shared" si="10"/>
        <v>-2.9397044663514248E-2</v>
      </c>
      <c r="X52" s="11"/>
      <c r="AA52" s="10"/>
      <c r="AB52" s="10"/>
    </row>
    <row r="53" spans="1:28" x14ac:dyDescent="0.25">
      <c r="A53" t="s">
        <v>42</v>
      </c>
      <c r="B53" t="s">
        <v>105</v>
      </c>
      <c r="C53" t="s">
        <v>26</v>
      </c>
      <c r="D53">
        <v>700</v>
      </c>
      <c r="E53" s="15" t="s">
        <v>106</v>
      </c>
      <c r="F53" s="10">
        <v>46143</v>
      </c>
      <c r="G53">
        <f>ROUND((AB53-AA53)/30,0)</f>
        <v>12</v>
      </c>
      <c r="H53" s="11">
        <v>1210</v>
      </c>
      <c r="I53" s="11">
        <v>1210</v>
      </c>
      <c r="J53" s="11">
        <v>0</v>
      </c>
      <c r="K53" s="11">
        <v>0</v>
      </c>
      <c r="L53" s="11">
        <f>J53+K53</f>
        <v>0</v>
      </c>
      <c r="M53" s="14">
        <f>IFERROR(L53/I53,0)</f>
        <v>0</v>
      </c>
      <c r="N53" s="11">
        <f>IFERROR(((I53*G53)-L53)/G53,0)</f>
        <v>1210</v>
      </c>
      <c r="O53" s="16">
        <f>IFERROR(N53/D53,0)</f>
        <v>1.7285714285714286</v>
      </c>
      <c r="P53" s="11">
        <v>1360</v>
      </c>
      <c r="Q53" s="11">
        <v>0</v>
      </c>
      <c r="R53" s="24">
        <v>12</v>
      </c>
      <c r="S53" s="11">
        <f>IFERROR(((P53*R53)-Q53)/R53,0)</f>
        <v>1360</v>
      </c>
      <c r="T53" s="16">
        <f>IFERROR(S53/D53,0)</f>
        <v>1.9428571428571428</v>
      </c>
      <c r="U53" s="11">
        <f>I53-P53</f>
        <v>-150</v>
      </c>
      <c r="V53" s="12">
        <f>IFERROR((I53-P53)/P53,0)</f>
        <v>-0.11029411764705882</v>
      </c>
      <c r="W53" s="13">
        <f>IFERROR((N53-S53)/S53,0)</f>
        <v>-0.11029411764705882</v>
      </c>
      <c r="X53" s="11"/>
      <c r="AA53" s="10">
        <v>46143</v>
      </c>
      <c r="AB53" s="10">
        <v>46507</v>
      </c>
    </row>
    <row r="54" spans="1:28" x14ac:dyDescent="0.25">
      <c r="A54" t="s">
        <v>42</v>
      </c>
      <c r="B54" t="s">
        <v>107</v>
      </c>
      <c r="C54" t="s">
        <v>26</v>
      </c>
      <c r="D54">
        <v>700</v>
      </c>
      <c r="E54" s="15" t="s">
        <v>108</v>
      </c>
      <c r="F54" s="10">
        <v>46160</v>
      </c>
      <c r="G54">
        <f>ROUND((AB54-AA54)/30,0)</f>
        <v>12</v>
      </c>
      <c r="H54" s="11">
        <v>1245</v>
      </c>
      <c r="I54" s="11">
        <v>1010</v>
      </c>
      <c r="J54" s="11">
        <v>0</v>
      </c>
      <c r="K54" s="11">
        <v>0</v>
      </c>
      <c r="L54" s="11">
        <f>J54+K54</f>
        <v>0</v>
      </c>
      <c r="M54" s="14">
        <f>IFERROR(L54/I54,0)</f>
        <v>0</v>
      </c>
      <c r="N54" s="11">
        <f>IFERROR(((I54*G54)-L54)/G54,0)</f>
        <v>1010</v>
      </c>
      <c r="O54" s="16">
        <f>IFERROR(N54/D54,0)</f>
        <v>1.4428571428571428</v>
      </c>
      <c r="P54" s="11">
        <v>1457</v>
      </c>
      <c r="Q54" s="11">
        <v>0</v>
      </c>
      <c r="R54" s="24">
        <v>12</v>
      </c>
      <c r="S54" s="11">
        <f>IFERROR(((P54*R54)-Q54)/R54,0)</f>
        <v>1457</v>
      </c>
      <c r="T54" s="16">
        <f>IFERROR(S54/D54,0)</f>
        <v>2.0814285714285714</v>
      </c>
      <c r="U54" s="11">
        <f>I54-P54</f>
        <v>-447</v>
      </c>
      <c r="V54" s="12">
        <f>IFERROR((I54-P54)/P54,0)</f>
        <v>-0.30679478380233355</v>
      </c>
      <c r="W54" s="13">
        <f>IFERROR((N54-S54)/S54,0)</f>
        <v>-0.30679478380233355</v>
      </c>
      <c r="X54" s="11"/>
      <c r="AA54" s="10">
        <v>46160</v>
      </c>
      <c r="AB54" s="10">
        <v>46524</v>
      </c>
    </row>
    <row r="55" spans="1:28" x14ac:dyDescent="0.25">
      <c r="A55" t="s">
        <v>42</v>
      </c>
      <c r="B55" t="s">
        <v>109</v>
      </c>
      <c r="C55" t="s">
        <v>26</v>
      </c>
      <c r="D55">
        <v>700</v>
      </c>
      <c r="E55" s="15" t="s">
        <v>110</v>
      </c>
      <c r="F55" s="10">
        <v>46113</v>
      </c>
      <c r="G55">
        <f>ROUND((AB55-AA55)/30,0)</f>
        <v>15</v>
      </c>
      <c r="H55" s="11">
        <v>1220</v>
      </c>
      <c r="I55" s="11">
        <v>1060</v>
      </c>
      <c r="J55" s="11">
        <v>0</v>
      </c>
      <c r="K55" s="11">
        <v>0</v>
      </c>
      <c r="L55" s="11">
        <f>J55+K55</f>
        <v>0</v>
      </c>
      <c r="M55" s="14">
        <f>IFERROR(L55/I55,0)</f>
        <v>0</v>
      </c>
      <c r="N55" s="11">
        <f>IFERROR(((I55*G55)-L55)/G55,0)</f>
        <v>1060</v>
      </c>
      <c r="O55" s="16">
        <f>IFERROR(N55/D55,0)</f>
        <v>1.5142857142857142</v>
      </c>
      <c r="P55" s="11">
        <v>1380</v>
      </c>
      <c r="Q55" s="11">
        <v>0</v>
      </c>
      <c r="R55" s="24">
        <v>12</v>
      </c>
      <c r="S55" s="11">
        <f>IFERROR(((P55*R55)-Q55)/R55,0)</f>
        <v>1380</v>
      </c>
      <c r="T55" s="16">
        <f>IFERROR(S55/D55,0)</f>
        <v>1.9714285714285715</v>
      </c>
      <c r="U55" s="11">
        <f>I55-P55</f>
        <v>-320</v>
      </c>
      <c r="V55" s="12">
        <f>IFERROR((I55-P55)/P55,0)</f>
        <v>-0.2318840579710145</v>
      </c>
      <c r="W55" s="13">
        <f>IFERROR((N55-S55)/S55,0)</f>
        <v>-0.2318840579710145</v>
      </c>
      <c r="X55" s="11"/>
      <c r="AA55" s="10">
        <v>46113</v>
      </c>
      <c r="AB55" s="10">
        <v>46568</v>
      </c>
    </row>
    <row r="56" spans="1:28" x14ac:dyDescent="0.25">
      <c r="A56" t="s">
        <v>42</v>
      </c>
      <c r="B56" t="s">
        <v>111</v>
      </c>
      <c r="C56" t="s">
        <v>26</v>
      </c>
      <c r="D56">
        <v>700</v>
      </c>
      <c r="E56" s="15" t="s">
        <v>112</v>
      </c>
      <c r="F56" s="10">
        <v>46164</v>
      </c>
      <c r="G56">
        <f>ROUND((AB56-AA56)/30,0)</f>
        <v>12</v>
      </c>
      <c r="H56" s="11">
        <v>1285</v>
      </c>
      <c r="I56" s="11">
        <v>1285</v>
      </c>
      <c r="J56" s="11">
        <v>0</v>
      </c>
      <c r="K56" s="11">
        <v>0</v>
      </c>
      <c r="L56" s="11">
        <f>J56+K56</f>
        <v>0</v>
      </c>
      <c r="M56" s="14">
        <f>IFERROR(L56/I56,0)</f>
        <v>0</v>
      </c>
      <c r="N56" s="11">
        <f>IFERROR(((I56*G56)-L56)/G56,0)</f>
        <v>1285</v>
      </c>
      <c r="O56" s="16">
        <f>IFERROR(N56/D56,0)</f>
        <v>1.8357142857142856</v>
      </c>
      <c r="P56" s="11">
        <v>1420</v>
      </c>
      <c r="Q56" s="11">
        <v>0</v>
      </c>
      <c r="R56" s="24">
        <v>12</v>
      </c>
      <c r="S56" s="11">
        <f>IFERROR(((P56*R56)-Q56)/R56,0)</f>
        <v>1420</v>
      </c>
      <c r="T56" s="16">
        <f>IFERROR(S56/D56,0)</f>
        <v>2.0285714285714285</v>
      </c>
      <c r="U56" s="11">
        <f>I56-P56</f>
        <v>-135</v>
      </c>
      <c r="V56" s="12">
        <f>IFERROR((I56-P56)/P56,0)</f>
        <v>-9.5070422535211266E-2</v>
      </c>
      <c r="W56" s="13">
        <f>IFERROR((N56-S56)/S56,0)</f>
        <v>-9.5070422535211266E-2</v>
      </c>
      <c r="X56" s="11"/>
      <c r="AA56" s="10">
        <v>46164</v>
      </c>
      <c r="AB56" s="10">
        <v>46528</v>
      </c>
    </row>
    <row r="57" spans="1:28" x14ac:dyDescent="0.25">
      <c r="A57" t="s">
        <v>42</v>
      </c>
      <c r="B57" t="s">
        <v>113</v>
      </c>
      <c r="C57" t="s">
        <v>26</v>
      </c>
      <c r="D57">
        <v>700</v>
      </c>
      <c r="E57" s="15" t="s">
        <v>114</v>
      </c>
      <c r="F57" s="10">
        <v>46114</v>
      </c>
      <c r="G57">
        <f>ROUND((AB57-AA57)/30,0)</f>
        <v>12</v>
      </c>
      <c r="H57" s="11">
        <v>1160</v>
      </c>
      <c r="I57" s="11">
        <v>1000</v>
      </c>
      <c r="J57" s="11">
        <v>0</v>
      </c>
      <c r="K57" s="11">
        <v>0</v>
      </c>
      <c r="L57" s="11">
        <f>J57+K57</f>
        <v>0</v>
      </c>
      <c r="M57" s="14">
        <f>IFERROR(L57/I57,0)</f>
        <v>0</v>
      </c>
      <c r="N57" s="11">
        <f>IFERROR(((I57*G57)-L57)/G57,0)</f>
        <v>1000</v>
      </c>
      <c r="O57" s="16">
        <f>IFERROR(N57/D57,0)</f>
        <v>1.4285714285714286</v>
      </c>
      <c r="P57" s="11">
        <v>1330</v>
      </c>
      <c r="Q57" s="11">
        <v>0</v>
      </c>
      <c r="R57" s="24">
        <v>12</v>
      </c>
      <c r="S57" s="11">
        <f>IFERROR(((P57*R57)-Q57)/R57,0)</f>
        <v>1330</v>
      </c>
      <c r="T57" s="16">
        <f>IFERROR(S57/D57,0)</f>
        <v>1.9</v>
      </c>
      <c r="U57" s="11">
        <f>I57-P57</f>
        <v>-330</v>
      </c>
      <c r="V57" s="12">
        <f>IFERROR((I57-P57)/P57,0)</f>
        <v>-0.24812030075187969</v>
      </c>
      <c r="W57" s="13">
        <f>IFERROR((N57-S57)/S57,0)</f>
        <v>-0.24812030075187969</v>
      </c>
      <c r="X57" s="11"/>
      <c r="AA57" s="10">
        <v>46114</v>
      </c>
      <c r="AB57" s="10">
        <v>46478</v>
      </c>
    </row>
    <row r="58" spans="1:28" x14ac:dyDescent="0.25">
      <c r="B58" s="17"/>
      <c r="C58" s="17" t="s">
        <v>79</v>
      </c>
      <c r="D58" s="17"/>
      <c r="E58" s="18"/>
      <c r="F58" s="17"/>
      <c r="G58" s="23">
        <f t="shared" ref="G58:W58" si="11">SUBTOTAL(1,G53:G57)</f>
        <v>12.6</v>
      </c>
      <c r="H58" s="20">
        <f t="shared" si="11"/>
        <v>1224</v>
      </c>
      <c r="I58" s="20">
        <f t="shared" si="11"/>
        <v>1113</v>
      </c>
      <c r="J58" s="20">
        <f t="shared" si="11"/>
        <v>0</v>
      </c>
      <c r="K58" s="20">
        <f t="shared" si="11"/>
        <v>0</v>
      </c>
      <c r="L58" s="20">
        <f t="shared" si="11"/>
        <v>0</v>
      </c>
      <c r="M58" s="19">
        <f t="shared" si="11"/>
        <v>0</v>
      </c>
      <c r="N58" s="20">
        <f t="shared" si="11"/>
        <v>1113</v>
      </c>
      <c r="O58" s="21">
        <f t="shared" si="11"/>
        <v>1.59</v>
      </c>
      <c r="P58" s="20">
        <f t="shared" si="11"/>
        <v>1389.4</v>
      </c>
      <c r="Q58" s="20">
        <f t="shared" si="11"/>
        <v>0</v>
      </c>
      <c r="R58" s="23">
        <f t="shared" si="11"/>
        <v>12</v>
      </c>
      <c r="S58" s="20">
        <f t="shared" si="11"/>
        <v>1389.4</v>
      </c>
      <c r="T58" s="21">
        <f t="shared" si="11"/>
        <v>1.9848571428571429</v>
      </c>
      <c r="U58" s="20">
        <f t="shared" si="11"/>
        <v>-276.39999999999998</v>
      </c>
      <c r="V58" s="22">
        <f t="shared" si="11"/>
        <v>-0.19843273654149957</v>
      </c>
      <c r="W58" s="22">
        <f t="shared" si="11"/>
        <v>-0.19843273654149957</v>
      </c>
      <c r="X58" s="11"/>
      <c r="AA58" s="10"/>
      <c r="AB58" s="10"/>
    </row>
    <row r="59" spans="1:28" x14ac:dyDescent="0.25">
      <c r="A59" t="s">
        <v>42</v>
      </c>
      <c r="B59" t="s">
        <v>115</v>
      </c>
      <c r="C59" t="s">
        <v>51</v>
      </c>
      <c r="D59">
        <v>814</v>
      </c>
      <c r="E59" s="15" t="s">
        <v>116</v>
      </c>
      <c r="F59" s="10">
        <v>46126</v>
      </c>
      <c r="G59">
        <f>ROUND((AB59-AA59)/30,0)</f>
        <v>12</v>
      </c>
      <c r="H59" s="11">
        <v>1285</v>
      </c>
      <c r="I59" s="11">
        <v>1025</v>
      </c>
      <c r="J59" s="11">
        <v>0</v>
      </c>
      <c r="K59" s="11">
        <v>0</v>
      </c>
      <c r="L59" s="11">
        <f>J59+K59</f>
        <v>0</v>
      </c>
      <c r="M59" s="14">
        <f>IFERROR(L59/I59,0)</f>
        <v>0</v>
      </c>
      <c r="N59" s="11">
        <f>IFERROR(((I59*G59)-L59)/G59,0)</f>
        <v>1025</v>
      </c>
      <c r="O59" s="16">
        <f>IFERROR(N59/D59,0)</f>
        <v>1.2592137592137591</v>
      </c>
      <c r="P59" s="11">
        <v>1145</v>
      </c>
      <c r="Q59" s="11">
        <v>0</v>
      </c>
      <c r="R59" s="24">
        <v>12</v>
      </c>
      <c r="S59" s="11">
        <f>IFERROR(((P59*R59)-Q59)/R59,0)</f>
        <v>1145</v>
      </c>
      <c r="T59" s="16">
        <f>IFERROR(S59/D59,0)</f>
        <v>1.4066339066339066</v>
      </c>
      <c r="U59" s="11">
        <f>I59-P59</f>
        <v>-120</v>
      </c>
      <c r="V59" s="12">
        <f>IFERROR((I59-P59)/P59,0)</f>
        <v>-0.10480349344978165</v>
      </c>
      <c r="W59" s="13">
        <f>IFERROR((N59-S59)/S59,0)</f>
        <v>-0.10480349344978165</v>
      </c>
      <c r="X59" s="11"/>
      <c r="AA59" s="10">
        <v>46126</v>
      </c>
      <c r="AB59" s="10">
        <v>46490</v>
      </c>
    </row>
    <row r="60" spans="1:28" x14ac:dyDescent="0.25">
      <c r="A60" t="s">
        <v>42</v>
      </c>
      <c r="B60" t="s">
        <v>117</v>
      </c>
      <c r="C60" t="s">
        <v>51</v>
      </c>
      <c r="D60">
        <v>814</v>
      </c>
      <c r="E60" s="15" t="s">
        <v>118</v>
      </c>
      <c r="F60" s="10">
        <v>46113</v>
      </c>
      <c r="G60">
        <f>ROUND((AB60-AA60)/30,0)</f>
        <v>12</v>
      </c>
      <c r="H60" s="11">
        <v>1380</v>
      </c>
      <c r="I60" s="11">
        <v>1070</v>
      </c>
      <c r="J60" s="11">
        <v>0</v>
      </c>
      <c r="K60" s="11">
        <v>0</v>
      </c>
      <c r="L60" s="11">
        <f>J60+K60</f>
        <v>0</v>
      </c>
      <c r="M60" s="14">
        <f>IFERROR(L60/I60,0)</f>
        <v>0</v>
      </c>
      <c r="N60" s="11">
        <f>IFERROR(((I60*G60)-L60)/G60,0)</f>
        <v>1070</v>
      </c>
      <c r="O60" s="16">
        <f>IFERROR(N60/D60,0)</f>
        <v>1.3144963144963144</v>
      </c>
      <c r="P60" s="11">
        <v>1660</v>
      </c>
      <c r="Q60" s="11">
        <v>0</v>
      </c>
      <c r="R60" s="24">
        <v>12</v>
      </c>
      <c r="S60" s="11">
        <f>IFERROR(((P60*R60)-Q60)/R60,0)</f>
        <v>1660</v>
      </c>
      <c r="T60" s="16">
        <f>IFERROR(S60/D60,0)</f>
        <v>2.0393120393120392</v>
      </c>
      <c r="U60" s="11">
        <f>I60-P60</f>
        <v>-590</v>
      </c>
      <c r="V60" s="12">
        <f>IFERROR((I60-P60)/P60,0)</f>
        <v>-0.35542168674698793</v>
      </c>
      <c r="W60" s="13">
        <f>IFERROR((N60-S60)/S60,0)</f>
        <v>-0.35542168674698793</v>
      </c>
      <c r="X60" s="11"/>
      <c r="AA60" s="10">
        <v>46113</v>
      </c>
      <c r="AB60" s="10">
        <v>46477</v>
      </c>
    </row>
    <row r="61" spans="1:28" x14ac:dyDescent="0.25">
      <c r="A61" t="s">
        <v>42</v>
      </c>
      <c r="B61" t="s">
        <v>119</v>
      </c>
      <c r="C61" t="s">
        <v>51</v>
      </c>
      <c r="D61">
        <v>814</v>
      </c>
      <c r="E61" s="15" t="s">
        <v>120</v>
      </c>
      <c r="F61" s="10">
        <v>46142</v>
      </c>
      <c r="G61">
        <f>ROUND((AB61-AA61)/30,0)</f>
        <v>12</v>
      </c>
      <c r="H61" s="11">
        <v>1320</v>
      </c>
      <c r="I61" s="11">
        <v>1040</v>
      </c>
      <c r="J61" s="11">
        <v>0</v>
      </c>
      <c r="K61" s="11">
        <v>0</v>
      </c>
      <c r="L61" s="11">
        <f>J61+K61</f>
        <v>0</v>
      </c>
      <c r="M61" s="14">
        <f>IFERROR(L61/I61,0)</f>
        <v>0</v>
      </c>
      <c r="N61" s="11">
        <f>IFERROR(((I61*G61)-L61)/G61,0)</f>
        <v>1040</v>
      </c>
      <c r="O61" s="16">
        <f>IFERROR(N61/D61,0)</f>
        <v>1.2776412776412776</v>
      </c>
      <c r="P61" s="11">
        <v>950</v>
      </c>
      <c r="Q61" s="11">
        <v>0</v>
      </c>
      <c r="R61" s="24">
        <v>12</v>
      </c>
      <c r="S61" s="11">
        <f>IFERROR(((P61*R61)-Q61)/R61,0)</f>
        <v>950</v>
      </c>
      <c r="T61" s="16">
        <f>IFERROR(S61/D61,0)</f>
        <v>1.1670761670761671</v>
      </c>
      <c r="U61" s="11">
        <f>I61-P61</f>
        <v>90</v>
      </c>
      <c r="V61" s="12">
        <f>IFERROR((I61-P61)/P61,0)</f>
        <v>9.4736842105263161E-2</v>
      </c>
      <c r="W61" s="13">
        <f>IFERROR((N61-S61)/S61,0)</f>
        <v>9.4736842105263161E-2</v>
      </c>
      <c r="X61" s="11"/>
      <c r="AA61" s="10">
        <v>46142</v>
      </c>
      <c r="AB61" s="10">
        <v>46506</v>
      </c>
    </row>
    <row r="62" spans="1:28" x14ac:dyDescent="0.25">
      <c r="A62" t="s">
        <v>42</v>
      </c>
      <c r="B62" t="s">
        <v>121</v>
      </c>
      <c r="C62" t="s">
        <v>51</v>
      </c>
      <c r="D62">
        <v>814</v>
      </c>
      <c r="E62" s="15" t="s">
        <v>122</v>
      </c>
      <c r="F62" s="10">
        <v>46121</v>
      </c>
      <c r="G62">
        <f>ROUND((AB62-AA62)/30,0)</f>
        <v>15</v>
      </c>
      <c r="H62" s="11">
        <v>1290</v>
      </c>
      <c r="I62" s="11">
        <v>1010</v>
      </c>
      <c r="J62" s="11">
        <v>0</v>
      </c>
      <c r="K62" s="11">
        <v>0</v>
      </c>
      <c r="L62" s="11">
        <f>J62+K62</f>
        <v>0</v>
      </c>
      <c r="M62" s="14">
        <f>IFERROR(L62/I62,0)</f>
        <v>0</v>
      </c>
      <c r="N62" s="11">
        <f>IFERROR(((I62*G62)-L62)/G62,0)</f>
        <v>1010</v>
      </c>
      <c r="O62" s="16">
        <f>IFERROR(N62/D62,0)</f>
        <v>1.2407862407862409</v>
      </c>
      <c r="P62" s="11">
        <v>1040</v>
      </c>
      <c r="Q62" s="11">
        <v>0</v>
      </c>
      <c r="R62" s="24">
        <v>12</v>
      </c>
      <c r="S62" s="11">
        <f>IFERROR(((P62*R62)-Q62)/R62,0)</f>
        <v>1040</v>
      </c>
      <c r="T62" s="16">
        <f>IFERROR(S62/D62,0)</f>
        <v>1.2776412776412776</v>
      </c>
      <c r="U62" s="11">
        <f>I62-P62</f>
        <v>-30</v>
      </c>
      <c r="V62" s="12">
        <f>IFERROR((I62-P62)/P62,0)</f>
        <v>-2.8846153846153848E-2</v>
      </c>
      <c r="W62" s="13">
        <f>IFERROR((N62-S62)/S62,0)</f>
        <v>-2.8846153846153848E-2</v>
      </c>
      <c r="X62" s="11"/>
      <c r="AA62" s="10">
        <v>46121</v>
      </c>
      <c r="AB62" s="10">
        <v>46576</v>
      </c>
    </row>
    <row r="63" spans="1:28" x14ac:dyDescent="0.25">
      <c r="A63" t="s">
        <v>42</v>
      </c>
      <c r="B63" t="s">
        <v>123</v>
      </c>
      <c r="C63" t="s">
        <v>51</v>
      </c>
      <c r="D63">
        <v>814</v>
      </c>
      <c r="E63" s="15" t="s">
        <v>124</v>
      </c>
      <c r="F63" s="10">
        <v>46134</v>
      </c>
      <c r="G63">
        <f>ROUND((AB63-AA63)/30,0)</f>
        <v>12</v>
      </c>
      <c r="H63" s="11">
        <v>1335</v>
      </c>
      <c r="I63" s="11">
        <v>1275</v>
      </c>
      <c r="J63" s="11">
        <v>0</v>
      </c>
      <c r="K63" s="11">
        <v>0</v>
      </c>
      <c r="L63" s="11">
        <f>J63+K63</f>
        <v>0</v>
      </c>
      <c r="M63" s="14">
        <f>IFERROR(L63/I63,0)</f>
        <v>0</v>
      </c>
      <c r="N63" s="11">
        <f>IFERROR(((I63*G63)-L63)/G63,0)</f>
        <v>1275</v>
      </c>
      <c r="O63" s="16">
        <f>IFERROR(N63/D63,0)</f>
        <v>1.5663390663390664</v>
      </c>
      <c r="P63" s="11">
        <v>1290</v>
      </c>
      <c r="Q63" s="11">
        <v>2040</v>
      </c>
      <c r="R63" s="24">
        <v>13</v>
      </c>
      <c r="S63" s="11">
        <f>IFERROR(((P63*R63)-Q63)/R63,0)</f>
        <v>1133.0769230769231</v>
      </c>
      <c r="T63" s="16">
        <f>IFERROR(S63/D63,0)</f>
        <v>1.391986391986392</v>
      </c>
      <c r="U63" s="11">
        <f>I63-P63</f>
        <v>-15</v>
      </c>
      <c r="V63" s="12">
        <f>IFERROR((I63-P63)/P63,0)</f>
        <v>-1.1627906976744186E-2</v>
      </c>
      <c r="W63" s="13">
        <f>IFERROR((N63-S63)/S63,0)</f>
        <v>0.12525458248472504</v>
      </c>
      <c r="X63" s="11"/>
      <c r="AA63" s="10">
        <v>46134</v>
      </c>
      <c r="AB63" s="10">
        <v>46498</v>
      </c>
    </row>
    <row r="64" spans="1:28" x14ac:dyDescent="0.25">
      <c r="B64" s="17"/>
      <c r="C64" s="17" t="s">
        <v>57</v>
      </c>
      <c r="D64" s="17"/>
      <c r="E64" s="18"/>
      <c r="F64" s="17"/>
      <c r="G64" s="23">
        <f t="shared" ref="G64:W64" si="12">SUBTOTAL(1,G59:G63)</f>
        <v>12.6</v>
      </c>
      <c r="H64" s="20">
        <f t="shared" si="12"/>
        <v>1322</v>
      </c>
      <c r="I64" s="20">
        <f t="shared" si="12"/>
        <v>1084</v>
      </c>
      <c r="J64" s="20">
        <f t="shared" si="12"/>
        <v>0</v>
      </c>
      <c r="K64" s="20">
        <f t="shared" si="12"/>
        <v>0</v>
      </c>
      <c r="L64" s="20">
        <f t="shared" si="12"/>
        <v>0</v>
      </c>
      <c r="M64" s="19">
        <f t="shared" si="12"/>
        <v>0</v>
      </c>
      <c r="N64" s="20">
        <f t="shared" si="12"/>
        <v>1084</v>
      </c>
      <c r="O64" s="21">
        <f t="shared" si="12"/>
        <v>1.3316953316953317</v>
      </c>
      <c r="P64" s="20">
        <f t="shared" si="12"/>
        <v>1217</v>
      </c>
      <c r="Q64" s="20">
        <f t="shared" si="12"/>
        <v>408</v>
      </c>
      <c r="R64" s="23">
        <f t="shared" si="12"/>
        <v>12.2</v>
      </c>
      <c r="S64" s="20">
        <f t="shared" si="12"/>
        <v>1185.6153846153845</v>
      </c>
      <c r="T64" s="21">
        <f t="shared" si="12"/>
        <v>1.4565299565299563</v>
      </c>
      <c r="U64" s="20">
        <f t="shared" si="12"/>
        <v>-133</v>
      </c>
      <c r="V64" s="22">
        <f t="shared" si="12"/>
        <v>-8.1192479782880897E-2</v>
      </c>
      <c r="W64" s="22">
        <f t="shared" si="12"/>
        <v>-5.3815981890587047E-2</v>
      </c>
      <c r="X64" s="11"/>
      <c r="AA64" s="10"/>
      <c r="AB64" s="10"/>
    </row>
    <row r="65" spans="1:28" x14ac:dyDescent="0.25">
      <c r="A65" t="s">
        <v>42</v>
      </c>
      <c r="B65" t="s">
        <v>125</v>
      </c>
      <c r="C65" t="s">
        <v>41</v>
      </c>
      <c r="D65">
        <v>875</v>
      </c>
      <c r="E65" s="15" t="s">
        <v>126</v>
      </c>
      <c r="F65" s="10">
        <v>46179</v>
      </c>
      <c r="G65">
        <f>ROUND((AB65-AA65)/30,0)</f>
        <v>12</v>
      </c>
      <c r="H65" s="11">
        <v>1364</v>
      </c>
      <c r="I65" s="11">
        <v>1075</v>
      </c>
      <c r="J65" s="11">
        <v>0</v>
      </c>
      <c r="K65" s="11">
        <v>0</v>
      </c>
      <c r="L65" s="11">
        <f>J65+K65</f>
        <v>0</v>
      </c>
      <c r="M65" s="14">
        <f>IFERROR(L65/I65,0)</f>
        <v>0</v>
      </c>
      <c r="N65" s="11">
        <f>IFERROR(((I65*G65)-L65)/G65,0)</f>
        <v>1075</v>
      </c>
      <c r="O65" s="16">
        <f>IFERROR(N65/D65,0)</f>
        <v>1.2285714285714286</v>
      </c>
      <c r="P65" s="11">
        <v>1627</v>
      </c>
      <c r="Q65" s="11">
        <v>0</v>
      </c>
      <c r="R65" s="24">
        <v>12</v>
      </c>
      <c r="S65" s="11">
        <f>IFERROR(((P65*R65)-Q65)/R65,0)</f>
        <v>1627</v>
      </c>
      <c r="T65" s="16">
        <f>IFERROR(S65/D65,0)</f>
        <v>1.8594285714285714</v>
      </c>
      <c r="U65" s="11">
        <f>I65-P65</f>
        <v>-552</v>
      </c>
      <c r="V65" s="12">
        <f>IFERROR((I65-P65)/P65,0)</f>
        <v>-0.33927473878303627</v>
      </c>
      <c r="W65" s="13">
        <f>IFERROR((N65-S65)/S65,0)</f>
        <v>-0.33927473878303627</v>
      </c>
      <c r="X65" s="11"/>
      <c r="AA65" s="10">
        <v>46179</v>
      </c>
      <c r="AB65" s="10">
        <v>46543</v>
      </c>
    </row>
    <row r="66" spans="1:28" x14ac:dyDescent="0.25">
      <c r="B66" s="17"/>
      <c r="C66" s="17" t="s">
        <v>77</v>
      </c>
      <c r="D66" s="17"/>
      <c r="E66" s="18"/>
      <c r="F66" s="17"/>
      <c r="G66" s="23">
        <f t="shared" ref="G66:W66" si="13">SUBTOTAL(1,G65)</f>
        <v>12</v>
      </c>
      <c r="H66" s="20">
        <f t="shared" si="13"/>
        <v>1364</v>
      </c>
      <c r="I66" s="20">
        <f t="shared" si="13"/>
        <v>1075</v>
      </c>
      <c r="J66" s="20">
        <f t="shared" si="13"/>
        <v>0</v>
      </c>
      <c r="K66" s="20">
        <f t="shared" si="13"/>
        <v>0</v>
      </c>
      <c r="L66" s="20">
        <f t="shared" si="13"/>
        <v>0</v>
      </c>
      <c r="M66" s="19">
        <f t="shared" si="13"/>
        <v>0</v>
      </c>
      <c r="N66" s="20">
        <f t="shared" si="13"/>
        <v>1075</v>
      </c>
      <c r="O66" s="21">
        <f t="shared" si="13"/>
        <v>1.2285714285714286</v>
      </c>
      <c r="P66" s="20">
        <f t="shared" si="13"/>
        <v>1627</v>
      </c>
      <c r="Q66" s="20">
        <f t="shared" si="13"/>
        <v>0</v>
      </c>
      <c r="R66" s="23">
        <f t="shared" si="13"/>
        <v>12</v>
      </c>
      <c r="S66" s="20">
        <f t="shared" si="13"/>
        <v>1627</v>
      </c>
      <c r="T66" s="21">
        <f t="shared" si="13"/>
        <v>1.8594285714285714</v>
      </c>
      <c r="U66" s="20">
        <f t="shared" si="13"/>
        <v>-552</v>
      </c>
      <c r="V66" s="22">
        <f t="shared" si="13"/>
        <v>-0.33927473878303627</v>
      </c>
      <c r="W66" s="22">
        <f t="shared" si="13"/>
        <v>-0.33927473878303627</v>
      </c>
      <c r="X66" s="11"/>
      <c r="AA66" s="10"/>
      <c r="AB66" s="10"/>
    </row>
    <row r="67" spans="1:28" x14ac:dyDescent="0.25">
      <c r="A67" t="s">
        <v>42</v>
      </c>
      <c r="B67" t="s">
        <v>127</v>
      </c>
      <c r="C67" t="s">
        <v>76</v>
      </c>
      <c r="D67">
        <v>930</v>
      </c>
      <c r="E67" s="15" t="s">
        <v>128</v>
      </c>
      <c r="F67" s="10">
        <v>46185</v>
      </c>
      <c r="G67">
        <f>ROUND((AB67-AA67)/30,0)</f>
        <v>7</v>
      </c>
      <c r="H67" s="11">
        <v>1288</v>
      </c>
      <c r="I67" s="11">
        <v>1288</v>
      </c>
      <c r="J67" s="11">
        <v>0</v>
      </c>
      <c r="K67" s="11">
        <v>0</v>
      </c>
      <c r="L67" s="11">
        <f>J67+K67</f>
        <v>0</v>
      </c>
      <c r="M67" s="14">
        <f>IFERROR(L67/I67,0)</f>
        <v>0</v>
      </c>
      <c r="N67" s="11">
        <f>IFERROR(((I67*G67)-L67)/G67,0)</f>
        <v>1288</v>
      </c>
      <c r="O67" s="16">
        <f>IFERROR(N67/D67,0)</f>
        <v>1.3849462365591398</v>
      </c>
      <c r="P67" s="11">
        <v>1465</v>
      </c>
      <c r="Q67" s="11">
        <v>1465</v>
      </c>
      <c r="R67" s="24">
        <v>12</v>
      </c>
      <c r="S67" s="11">
        <f>IFERROR(((P67*R67)-Q67)/R67,0)</f>
        <v>1342.9166666666667</v>
      </c>
      <c r="T67" s="16">
        <f>IFERROR(S67/D67,0)</f>
        <v>1.4439964157706093</v>
      </c>
      <c r="U67" s="11">
        <f>I67-P67</f>
        <v>-177</v>
      </c>
      <c r="V67" s="12">
        <f>IFERROR((I67-P67)/P67,0)</f>
        <v>-0.12081911262798635</v>
      </c>
      <c r="W67" s="13">
        <f>IFERROR((N67-S67)/S67,0)</f>
        <v>-4.0893577412348794E-2</v>
      </c>
      <c r="X67" s="11"/>
      <c r="AA67" s="10">
        <v>46185</v>
      </c>
      <c r="AB67" s="10">
        <v>46398</v>
      </c>
    </row>
    <row r="68" spans="1:28" x14ac:dyDescent="0.25">
      <c r="A68" t="s">
        <v>42</v>
      </c>
      <c r="B68" t="s">
        <v>129</v>
      </c>
      <c r="C68" t="s">
        <v>76</v>
      </c>
      <c r="D68">
        <v>930</v>
      </c>
      <c r="E68" s="15" t="s">
        <v>130</v>
      </c>
      <c r="F68" s="10">
        <v>46113</v>
      </c>
      <c r="G68">
        <f>ROUND((AB68-AA68)/30,0)</f>
        <v>15</v>
      </c>
      <c r="H68" s="11">
        <v>1285</v>
      </c>
      <c r="I68" s="11">
        <v>1025</v>
      </c>
      <c r="J68" s="11">
        <v>0</v>
      </c>
      <c r="K68" s="11">
        <v>0</v>
      </c>
      <c r="L68" s="11">
        <f>J68+K68</f>
        <v>0</v>
      </c>
      <c r="M68" s="14">
        <f>IFERROR(L68/I68,0)</f>
        <v>0</v>
      </c>
      <c r="N68" s="11">
        <f>IFERROR(((I68*G68)-L68)/G68,0)</f>
        <v>1025</v>
      </c>
      <c r="O68" s="16">
        <f>IFERROR(N68/D68,0)</f>
        <v>1.1021505376344085</v>
      </c>
      <c r="P68" s="11">
        <v>1490</v>
      </c>
      <c r="Q68" s="11">
        <v>0</v>
      </c>
      <c r="R68" s="24">
        <v>12</v>
      </c>
      <c r="S68" s="11">
        <f>IFERROR(((P68*R68)-Q68)/R68,0)</f>
        <v>1490</v>
      </c>
      <c r="T68" s="16">
        <f>IFERROR(S68/D68,0)</f>
        <v>1.6021505376344085</v>
      </c>
      <c r="U68" s="11">
        <f>I68-P68</f>
        <v>-465</v>
      </c>
      <c r="V68" s="12">
        <f>IFERROR((I68-P68)/P68,0)</f>
        <v>-0.31208053691275167</v>
      </c>
      <c r="W68" s="13">
        <f>IFERROR((N68-S68)/S68,0)</f>
        <v>-0.31208053691275167</v>
      </c>
      <c r="X68" s="11"/>
      <c r="AA68" s="10">
        <v>46113</v>
      </c>
      <c r="AB68" s="10">
        <v>46568</v>
      </c>
    </row>
    <row r="69" spans="1:28" x14ac:dyDescent="0.25">
      <c r="A69" t="s">
        <v>42</v>
      </c>
      <c r="B69" t="s">
        <v>131</v>
      </c>
      <c r="C69" t="s">
        <v>76</v>
      </c>
      <c r="D69">
        <v>930</v>
      </c>
      <c r="E69" s="15" t="s">
        <v>132</v>
      </c>
      <c r="F69" s="10">
        <v>46183</v>
      </c>
      <c r="G69">
        <f>ROUND((AB69-AA69)/30,0)</f>
        <v>15</v>
      </c>
      <c r="H69" s="11">
        <v>1218</v>
      </c>
      <c r="I69" s="11">
        <v>990</v>
      </c>
      <c r="J69" s="11">
        <v>0</v>
      </c>
      <c r="K69" s="11">
        <v>0</v>
      </c>
      <c r="L69" s="11">
        <f>J69+K69</f>
        <v>0</v>
      </c>
      <c r="M69" s="14">
        <f>IFERROR(L69/I69,0)</f>
        <v>0</v>
      </c>
      <c r="N69" s="11">
        <f>IFERROR(((I69*G69)-L69)/G69,0)</f>
        <v>990</v>
      </c>
      <c r="O69" s="16">
        <f>IFERROR(N69/D69,0)</f>
        <v>1.064516129032258</v>
      </c>
      <c r="P69" s="11">
        <v>1502</v>
      </c>
      <c r="Q69" s="11">
        <v>0</v>
      </c>
      <c r="R69" s="24">
        <v>12</v>
      </c>
      <c r="S69" s="11">
        <f>IFERROR(((P69*R69)-Q69)/R69,0)</f>
        <v>1502</v>
      </c>
      <c r="T69" s="16">
        <f>IFERROR(S69/D69,0)</f>
        <v>1.6150537634408602</v>
      </c>
      <c r="U69" s="11">
        <f>I69-P69</f>
        <v>-512</v>
      </c>
      <c r="V69" s="12">
        <f>IFERROR((I69-P69)/P69,0)</f>
        <v>-0.34087882822902799</v>
      </c>
      <c r="W69" s="13">
        <f>IFERROR((N69-S69)/S69,0)</f>
        <v>-0.34087882822902799</v>
      </c>
      <c r="X69" s="11"/>
      <c r="AA69" s="10">
        <v>46183</v>
      </c>
      <c r="AB69" s="10">
        <v>46639</v>
      </c>
    </row>
    <row r="70" spans="1:28" x14ac:dyDescent="0.25">
      <c r="A70" t="s">
        <v>42</v>
      </c>
      <c r="B70" t="s">
        <v>133</v>
      </c>
      <c r="C70" t="s">
        <v>76</v>
      </c>
      <c r="D70">
        <v>930</v>
      </c>
      <c r="E70" s="15" t="s">
        <v>134</v>
      </c>
      <c r="F70" s="10">
        <v>46179</v>
      </c>
      <c r="G70">
        <f>ROUND((AB70-AA70)/30,0)</f>
        <v>13</v>
      </c>
      <c r="H70" s="11">
        <v>1303</v>
      </c>
      <c r="I70" s="11">
        <v>1303</v>
      </c>
      <c r="J70" s="11">
        <v>1600</v>
      </c>
      <c r="K70" s="11">
        <v>0</v>
      </c>
      <c r="L70" s="11">
        <f>J70+K70</f>
        <v>1600</v>
      </c>
      <c r="M70" s="14">
        <f>IFERROR(L70/I70,0)</f>
        <v>1.2279355333844972</v>
      </c>
      <c r="N70" s="11">
        <f>IFERROR(((I70*G70)-L70)/G70,0)</f>
        <v>1179.9230769230769</v>
      </c>
      <c r="O70" s="16">
        <f>IFERROR(N70/D70,0)</f>
        <v>1.2687344913151364</v>
      </c>
      <c r="P70" s="11">
        <v>1633</v>
      </c>
      <c r="Q70" s="11">
        <v>0</v>
      </c>
      <c r="R70" s="24">
        <v>12</v>
      </c>
      <c r="S70" s="11">
        <f>IFERROR(((P70*R70)-Q70)/R70,0)</f>
        <v>1633</v>
      </c>
      <c r="T70" s="16">
        <f>IFERROR(S70/D70,0)</f>
        <v>1.7559139784946236</v>
      </c>
      <c r="U70" s="11">
        <f>I70-P70</f>
        <v>-330</v>
      </c>
      <c r="V70" s="12">
        <f>IFERROR((I70-P70)/P70,0)</f>
        <v>-0.20208205756276792</v>
      </c>
      <c r="W70" s="13">
        <f>IFERROR((N70-S70)/S70,0)</f>
        <v>-0.27745065711997741</v>
      </c>
      <c r="X70" s="11"/>
      <c r="AA70" s="10">
        <v>46179</v>
      </c>
      <c r="AB70" s="10">
        <v>46573</v>
      </c>
    </row>
    <row r="71" spans="1:28" x14ac:dyDescent="0.25">
      <c r="A71" t="s">
        <v>42</v>
      </c>
      <c r="B71" t="s">
        <v>135</v>
      </c>
      <c r="C71" t="s">
        <v>76</v>
      </c>
      <c r="D71">
        <v>930</v>
      </c>
      <c r="E71" s="15" t="s">
        <v>136</v>
      </c>
      <c r="F71" s="10">
        <v>46114</v>
      </c>
      <c r="G71">
        <f>ROUND((AB71-AA71)/30,0)</f>
        <v>12</v>
      </c>
      <c r="H71" s="11">
        <v>1355</v>
      </c>
      <c r="I71" s="11">
        <v>1095</v>
      </c>
      <c r="J71" s="11">
        <v>0</v>
      </c>
      <c r="K71" s="11">
        <v>0</v>
      </c>
      <c r="L71" s="11">
        <f>J71+K71</f>
        <v>0</v>
      </c>
      <c r="M71" s="14">
        <f>IFERROR(L71/I71,0)</f>
        <v>0</v>
      </c>
      <c r="N71" s="11">
        <f>IFERROR(((I71*G71)-L71)/G71,0)</f>
        <v>1095</v>
      </c>
      <c r="O71" s="16">
        <f>IFERROR(N71/D71,0)</f>
        <v>1.1774193548387097</v>
      </c>
      <c r="P71" s="11">
        <v>1664</v>
      </c>
      <c r="Q71" s="11">
        <v>0</v>
      </c>
      <c r="R71" s="24">
        <v>12</v>
      </c>
      <c r="S71" s="11">
        <f>IFERROR(((P71*R71)-Q71)/R71,0)</f>
        <v>1664</v>
      </c>
      <c r="T71" s="16">
        <f>IFERROR(S71/D71,0)</f>
        <v>1.789247311827957</v>
      </c>
      <c r="U71" s="11">
        <f>I71-P71</f>
        <v>-569</v>
      </c>
      <c r="V71" s="12">
        <f>IFERROR((I71-P71)/P71,0)</f>
        <v>-0.34194711538461536</v>
      </c>
      <c r="W71" s="13">
        <f>IFERROR((N71-S71)/S71,0)</f>
        <v>-0.34194711538461536</v>
      </c>
      <c r="X71" s="11"/>
      <c r="AA71" s="10">
        <v>46114</v>
      </c>
      <c r="AB71" s="10">
        <v>46478</v>
      </c>
    </row>
    <row r="72" spans="1:28" x14ac:dyDescent="0.25">
      <c r="B72" s="17"/>
      <c r="C72" s="17" t="s">
        <v>75</v>
      </c>
      <c r="D72" s="17"/>
      <c r="E72" s="18"/>
      <c r="F72" s="17"/>
      <c r="G72" s="23">
        <f t="shared" ref="G72:W72" si="14">SUBTOTAL(1,G67:G71)</f>
        <v>12.4</v>
      </c>
      <c r="H72" s="20">
        <f t="shared" si="14"/>
        <v>1289.8</v>
      </c>
      <c r="I72" s="20">
        <f t="shared" si="14"/>
        <v>1140.2</v>
      </c>
      <c r="J72" s="20">
        <f t="shared" si="14"/>
        <v>320</v>
      </c>
      <c r="K72" s="20">
        <f t="shared" si="14"/>
        <v>0</v>
      </c>
      <c r="L72" s="20">
        <f t="shared" si="14"/>
        <v>320</v>
      </c>
      <c r="M72" s="19">
        <f t="shared" si="14"/>
        <v>0.24558710667689945</v>
      </c>
      <c r="N72" s="20">
        <f t="shared" si="14"/>
        <v>1115.5846153846155</v>
      </c>
      <c r="O72" s="21">
        <f t="shared" si="14"/>
        <v>1.1995533498759305</v>
      </c>
      <c r="P72" s="20">
        <f t="shared" si="14"/>
        <v>1550.8</v>
      </c>
      <c r="Q72" s="20">
        <f t="shared" si="14"/>
        <v>293</v>
      </c>
      <c r="R72" s="23">
        <f t="shared" si="14"/>
        <v>12</v>
      </c>
      <c r="S72" s="20">
        <f t="shared" si="14"/>
        <v>1526.3833333333334</v>
      </c>
      <c r="T72" s="21">
        <f t="shared" si="14"/>
        <v>1.6412724014336917</v>
      </c>
      <c r="U72" s="20">
        <f t="shared" si="14"/>
        <v>-410.6</v>
      </c>
      <c r="V72" s="22">
        <f t="shared" si="14"/>
        <v>-0.26356153014342987</v>
      </c>
      <c r="W72" s="22">
        <f t="shared" si="14"/>
        <v>-0.26265014301174422</v>
      </c>
      <c r="X72" s="11"/>
      <c r="AA72" s="10"/>
      <c r="AB72" s="10"/>
    </row>
    <row r="73" spans="1:28" x14ac:dyDescent="0.25">
      <c r="A73" t="s">
        <v>42</v>
      </c>
      <c r="B73" t="s">
        <v>137</v>
      </c>
      <c r="C73" t="s">
        <v>138</v>
      </c>
      <c r="D73">
        <v>980</v>
      </c>
      <c r="E73" s="15" t="s">
        <v>139</v>
      </c>
      <c r="F73" s="10">
        <v>46116</v>
      </c>
      <c r="G73">
        <f>ROUND((AB73-AA73)/30,0)</f>
        <v>12</v>
      </c>
      <c r="H73" s="11">
        <v>1470</v>
      </c>
      <c r="I73" s="11">
        <v>1210</v>
      </c>
      <c r="J73" s="11">
        <v>0</v>
      </c>
      <c r="K73" s="11">
        <v>0</v>
      </c>
      <c r="L73" s="11">
        <f>J73+K73</f>
        <v>0</v>
      </c>
      <c r="M73" s="14">
        <f>IFERROR(L73/I73,0)</f>
        <v>0</v>
      </c>
      <c r="N73" s="11">
        <f>IFERROR(((I73*G73)-L73)/G73,0)</f>
        <v>1210</v>
      </c>
      <c r="O73" s="16">
        <f>IFERROR(N73/D73,0)</f>
        <v>1.2346938775510203</v>
      </c>
      <c r="P73" s="11">
        <v>1075</v>
      </c>
      <c r="Q73" s="11">
        <v>0</v>
      </c>
      <c r="R73" s="24">
        <v>12</v>
      </c>
      <c r="S73" s="11">
        <f>IFERROR(((P73*R73)-Q73)/R73,0)</f>
        <v>1075</v>
      </c>
      <c r="T73" s="16">
        <f>IFERROR(S73/D73,0)</f>
        <v>1.096938775510204</v>
      </c>
      <c r="U73" s="11">
        <f>I73-P73</f>
        <v>135</v>
      </c>
      <c r="V73" s="12">
        <f>IFERROR((I73-P73)/P73,0)</f>
        <v>0.12558139534883722</v>
      </c>
      <c r="W73" s="13">
        <f>IFERROR((N73-S73)/S73,0)</f>
        <v>0.12558139534883722</v>
      </c>
      <c r="X73" s="11"/>
      <c r="AA73" s="10">
        <v>46116</v>
      </c>
      <c r="AB73" s="10">
        <v>46480</v>
      </c>
    </row>
    <row r="74" spans="1:28" x14ac:dyDescent="0.25">
      <c r="A74" t="s">
        <v>42</v>
      </c>
      <c r="B74" t="s">
        <v>140</v>
      </c>
      <c r="C74" t="s">
        <v>138</v>
      </c>
      <c r="D74">
        <v>980</v>
      </c>
      <c r="E74" s="15" t="s">
        <v>141</v>
      </c>
      <c r="F74" s="10">
        <v>46158</v>
      </c>
      <c r="G74">
        <f>ROUND((AB74-AA74)/30,0)</f>
        <v>12</v>
      </c>
      <c r="H74" s="11">
        <v>1290</v>
      </c>
      <c r="I74" s="11">
        <v>1140</v>
      </c>
      <c r="J74" s="11">
        <v>0</v>
      </c>
      <c r="K74" s="11">
        <v>0</v>
      </c>
      <c r="L74" s="11">
        <f>J74+K74</f>
        <v>0</v>
      </c>
      <c r="M74" s="14">
        <f>IFERROR(L74/I74,0)</f>
        <v>0</v>
      </c>
      <c r="N74" s="11">
        <f>IFERROR(((I74*G74)-L74)/G74,0)</f>
        <v>1140</v>
      </c>
      <c r="O74" s="16">
        <f>IFERROR(N74/D74,0)</f>
        <v>1.1632653061224489</v>
      </c>
      <c r="P74" s="11">
        <v>1600</v>
      </c>
      <c r="Q74" s="11">
        <v>0</v>
      </c>
      <c r="R74" s="24">
        <v>12</v>
      </c>
      <c r="S74" s="11">
        <f>IFERROR(((P74*R74)-Q74)/R74,0)</f>
        <v>1600</v>
      </c>
      <c r="T74" s="16">
        <f>IFERROR(S74/D74,0)</f>
        <v>1.6326530612244898</v>
      </c>
      <c r="U74" s="11">
        <f>I74-P74</f>
        <v>-460</v>
      </c>
      <c r="V74" s="12">
        <f>IFERROR((I74-P74)/P74,0)</f>
        <v>-0.28749999999999998</v>
      </c>
      <c r="W74" s="13">
        <f>IFERROR((N74-S74)/S74,0)</f>
        <v>-0.28749999999999998</v>
      </c>
      <c r="X74" s="11"/>
      <c r="AA74" s="10">
        <v>46158</v>
      </c>
      <c r="AB74" s="10">
        <v>46522</v>
      </c>
    </row>
    <row r="75" spans="1:28" x14ac:dyDescent="0.25">
      <c r="B75" s="17"/>
      <c r="C75" s="17" t="s">
        <v>142</v>
      </c>
      <c r="D75" s="17"/>
      <c r="E75" s="18"/>
      <c r="F75" s="17"/>
      <c r="G75" s="23">
        <f t="shared" ref="G75:W75" si="15">SUBTOTAL(1,G73:G74)</f>
        <v>12</v>
      </c>
      <c r="H75" s="20">
        <f t="shared" si="15"/>
        <v>1380</v>
      </c>
      <c r="I75" s="20">
        <f t="shared" si="15"/>
        <v>1175</v>
      </c>
      <c r="J75" s="20">
        <f t="shared" si="15"/>
        <v>0</v>
      </c>
      <c r="K75" s="20">
        <f t="shared" si="15"/>
        <v>0</v>
      </c>
      <c r="L75" s="20">
        <f t="shared" si="15"/>
        <v>0</v>
      </c>
      <c r="M75" s="19">
        <f t="shared" si="15"/>
        <v>0</v>
      </c>
      <c r="N75" s="20">
        <f t="shared" si="15"/>
        <v>1175</v>
      </c>
      <c r="O75" s="21">
        <f t="shared" si="15"/>
        <v>1.1989795918367347</v>
      </c>
      <c r="P75" s="20">
        <f t="shared" si="15"/>
        <v>1337.5</v>
      </c>
      <c r="Q75" s="20">
        <f t="shared" si="15"/>
        <v>0</v>
      </c>
      <c r="R75" s="23">
        <f t="shared" si="15"/>
        <v>12</v>
      </c>
      <c r="S75" s="20">
        <f t="shared" si="15"/>
        <v>1337.5</v>
      </c>
      <c r="T75" s="21">
        <f t="shared" si="15"/>
        <v>1.364795918367347</v>
      </c>
      <c r="U75" s="20">
        <f t="shared" si="15"/>
        <v>-162.5</v>
      </c>
      <c r="V75" s="22">
        <f t="shared" si="15"/>
        <v>-8.0959302325581378E-2</v>
      </c>
      <c r="W75" s="22">
        <f t="shared" si="15"/>
        <v>-8.0959302325581378E-2</v>
      </c>
      <c r="X75" s="11"/>
      <c r="AA75" s="10"/>
      <c r="AB75" s="10"/>
    </row>
    <row r="76" spans="1:28" x14ac:dyDescent="0.25">
      <c r="A76" t="s">
        <v>42</v>
      </c>
      <c r="B76" t="s">
        <v>143</v>
      </c>
      <c r="C76" t="s">
        <v>65</v>
      </c>
      <c r="D76">
        <v>1028</v>
      </c>
      <c r="E76" s="15" t="s">
        <v>144</v>
      </c>
      <c r="F76" s="10">
        <v>46144</v>
      </c>
      <c r="G76">
        <f>ROUND((AB76-AA76)/30,0)</f>
        <v>12</v>
      </c>
      <c r="H76" s="11">
        <v>1582</v>
      </c>
      <c r="I76" s="11">
        <v>1662</v>
      </c>
      <c r="J76" s="11">
        <v>0</v>
      </c>
      <c r="K76" s="11">
        <v>0</v>
      </c>
      <c r="L76" s="11">
        <f>J76+K76</f>
        <v>0</v>
      </c>
      <c r="M76" s="14">
        <f>IFERROR(L76/I76,0)</f>
        <v>0</v>
      </c>
      <c r="N76" s="11">
        <f>IFERROR(((I76*G76)-L76)/G76,0)</f>
        <v>1662</v>
      </c>
      <c r="O76" s="16">
        <f>IFERROR(N76/D76,0)</f>
        <v>1.6167315175097277</v>
      </c>
      <c r="P76" s="11">
        <v>1535</v>
      </c>
      <c r="Q76" s="11">
        <v>0</v>
      </c>
      <c r="R76" s="24">
        <v>12</v>
      </c>
      <c r="S76" s="11">
        <f>IFERROR(((P76*R76)-Q76)/R76,0)</f>
        <v>1535</v>
      </c>
      <c r="T76" s="16">
        <f>IFERROR(S76/D76,0)</f>
        <v>1.4931906614785992</v>
      </c>
      <c r="U76" s="11">
        <f>I76-P76</f>
        <v>127</v>
      </c>
      <c r="V76" s="12">
        <f>IFERROR((I76-P76)/P76,0)</f>
        <v>8.2736156351791532E-2</v>
      </c>
      <c r="W76" s="13">
        <f>IFERROR((N76-S76)/S76,0)</f>
        <v>8.2736156351791532E-2</v>
      </c>
      <c r="X76" s="11"/>
      <c r="AA76" s="10">
        <v>46144</v>
      </c>
      <c r="AB76" s="10">
        <v>46508</v>
      </c>
    </row>
    <row r="77" spans="1:28" x14ac:dyDescent="0.25">
      <c r="B77" s="17"/>
      <c r="C77" s="17" t="s">
        <v>67</v>
      </c>
      <c r="D77" s="17"/>
      <c r="E77" s="18"/>
      <c r="F77" s="17"/>
      <c r="G77" s="23">
        <f t="shared" ref="G77:W77" si="16">SUBTOTAL(1,G76)</f>
        <v>12</v>
      </c>
      <c r="H77" s="20">
        <f t="shared" si="16"/>
        <v>1582</v>
      </c>
      <c r="I77" s="20">
        <f t="shared" si="16"/>
        <v>1662</v>
      </c>
      <c r="J77" s="20">
        <f t="shared" si="16"/>
        <v>0</v>
      </c>
      <c r="K77" s="20">
        <f t="shared" si="16"/>
        <v>0</v>
      </c>
      <c r="L77" s="20">
        <f t="shared" si="16"/>
        <v>0</v>
      </c>
      <c r="M77" s="19">
        <f t="shared" si="16"/>
        <v>0</v>
      </c>
      <c r="N77" s="20">
        <f t="shared" si="16"/>
        <v>1662</v>
      </c>
      <c r="O77" s="21">
        <f t="shared" si="16"/>
        <v>1.6167315175097277</v>
      </c>
      <c r="P77" s="20">
        <f t="shared" si="16"/>
        <v>1535</v>
      </c>
      <c r="Q77" s="20">
        <f t="shared" si="16"/>
        <v>0</v>
      </c>
      <c r="R77" s="23">
        <f t="shared" si="16"/>
        <v>12</v>
      </c>
      <c r="S77" s="20">
        <f t="shared" si="16"/>
        <v>1535</v>
      </c>
      <c r="T77" s="21">
        <f t="shared" si="16"/>
        <v>1.4931906614785992</v>
      </c>
      <c r="U77" s="20">
        <f t="shared" si="16"/>
        <v>127</v>
      </c>
      <c r="V77" s="22">
        <f t="shared" si="16"/>
        <v>8.2736156351791532E-2</v>
      </c>
      <c r="W77" s="22">
        <f t="shared" si="16"/>
        <v>8.2736156351791532E-2</v>
      </c>
      <c r="X77" s="11"/>
      <c r="AA77" s="10"/>
      <c r="AB77" s="10"/>
    </row>
    <row r="78" spans="1:28" x14ac:dyDescent="0.25">
      <c r="A78" t="s">
        <v>42</v>
      </c>
      <c r="B78" t="s">
        <v>145</v>
      </c>
      <c r="C78" t="s">
        <v>72</v>
      </c>
      <c r="D78">
        <v>1130</v>
      </c>
      <c r="E78" s="15" t="s">
        <v>146</v>
      </c>
      <c r="F78" s="10">
        <v>46174</v>
      </c>
      <c r="G78">
        <f t="shared" ref="G78:G85" si="17">ROUND((AB78-AA78)/30,0)</f>
        <v>12</v>
      </c>
      <c r="H78" s="11">
        <v>1555</v>
      </c>
      <c r="I78" s="11">
        <v>1555</v>
      </c>
      <c r="J78" s="11">
        <v>0</v>
      </c>
      <c r="K78" s="11">
        <v>0</v>
      </c>
      <c r="L78" s="11">
        <f t="shared" ref="L78:L85" si="18">J78+K78</f>
        <v>0</v>
      </c>
      <c r="M78" s="14">
        <f t="shared" ref="M78:M85" si="19">IFERROR(L78/I78,0)</f>
        <v>0</v>
      </c>
      <c r="N78" s="11">
        <f t="shared" ref="N78:N85" si="20">IFERROR(((I78*G78)-L78)/G78,0)</f>
        <v>1555</v>
      </c>
      <c r="O78" s="16">
        <f t="shared" ref="O78:O85" si="21">IFERROR(N78/D78,0)</f>
        <v>1.3761061946902655</v>
      </c>
      <c r="P78" s="11">
        <v>1800</v>
      </c>
      <c r="Q78" s="11">
        <v>0</v>
      </c>
      <c r="R78" s="24">
        <v>12</v>
      </c>
      <c r="S78" s="11">
        <f t="shared" ref="S78:S85" si="22">IFERROR(((P78*R78)-Q78)/R78,0)</f>
        <v>1800</v>
      </c>
      <c r="T78" s="16">
        <f t="shared" ref="T78:T85" si="23">IFERROR(S78/D78,0)</f>
        <v>1.5929203539823009</v>
      </c>
      <c r="U78" s="11">
        <f t="shared" ref="U78:U85" si="24">I78-P78</f>
        <v>-245</v>
      </c>
      <c r="V78" s="12">
        <f t="shared" ref="V78:V85" si="25">IFERROR((I78-P78)/P78,0)</f>
        <v>-0.1361111111111111</v>
      </c>
      <c r="W78" s="13">
        <f t="shared" ref="W78:W85" si="26">IFERROR((N78-S78)/S78,0)</f>
        <v>-0.1361111111111111</v>
      </c>
      <c r="X78" s="11"/>
      <c r="AA78" s="10">
        <v>46174</v>
      </c>
      <c r="AB78" s="10">
        <v>46538</v>
      </c>
    </row>
    <row r="79" spans="1:28" x14ac:dyDescent="0.25">
      <c r="A79" t="s">
        <v>42</v>
      </c>
      <c r="B79" t="s">
        <v>147</v>
      </c>
      <c r="C79" t="s">
        <v>72</v>
      </c>
      <c r="D79">
        <v>1130</v>
      </c>
      <c r="E79" s="15" t="s">
        <v>148</v>
      </c>
      <c r="F79" s="10">
        <v>46122</v>
      </c>
      <c r="G79">
        <f t="shared" si="17"/>
        <v>15</v>
      </c>
      <c r="H79" s="11">
        <v>1430</v>
      </c>
      <c r="I79" s="11">
        <v>1280</v>
      </c>
      <c r="J79" s="11">
        <v>0</v>
      </c>
      <c r="K79" s="11">
        <v>0</v>
      </c>
      <c r="L79" s="11">
        <f t="shared" si="18"/>
        <v>0</v>
      </c>
      <c r="M79" s="14">
        <f t="shared" si="19"/>
        <v>0</v>
      </c>
      <c r="N79" s="11">
        <f t="shared" si="20"/>
        <v>1280</v>
      </c>
      <c r="O79" s="16">
        <f t="shared" si="21"/>
        <v>1.1327433628318584</v>
      </c>
      <c r="P79" s="11">
        <v>1670</v>
      </c>
      <c r="Q79" s="11">
        <v>0</v>
      </c>
      <c r="R79" s="24">
        <v>12</v>
      </c>
      <c r="S79" s="11">
        <f t="shared" si="22"/>
        <v>1670</v>
      </c>
      <c r="T79" s="16">
        <f t="shared" si="23"/>
        <v>1.4778761061946903</v>
      </c>
      <c r="U79" s="11">
        <f t="shared" si="24"/>
        <v>-390</v>
      </c>
      <c r="V79" s="12">
        <f t="shared" si="25"/>
        <v>-0.23353293413173654</v>
      </c>
      <c r="W79" s="13">
        <f t="shared" si="26"/>
        <v>-0.23353293413173654</v>
      </c>
      <c r="X79" s="11"/>
      <c r="AA79" s="10">
        <v>46122</v>
      </c>
      <c r="AB79" s="10">
        <v>46577</v>
      </c>
    </row>
    <row r="80" spans="1:28" x14ac:dyDescent="0.25">
      <c r="A80" t="s">
        <v>42</v>
      </c>
      <c r="B80" t="s">
        <v>149</v>
      </c>
      <c r="C80" t="s">
        <v>72</v>
      </c>
      <c r="D80">
        <v>1130</v>
      </c>
      <c r="E80" s="15" t="s">
        <v>150</v>
      </c>
      <c r="F80" s="10">
        <v>46203</v>
      </c>
      <c r="G80">
        <f t="shared" si="17"/>
        <v>12</v>
      </c>
      <c r="H80" s="11">
        <v>1580</v>
      </c>
      <c r="I80" s="11">
        <v>1580</v>
      </c>
      <c r="J80" s="11">
        <v>0</v>
      </c>
      <c r="K80" s="11">
        <v>0</v>
      </c>
      <c r="L80" s="11">
        <f t="shared" si="18"/>
        <v>0</v>
      </c>
      <c r="M80" s="14">
        <f t="shared" si="19"/>
        <v>0</v>
      </c>
      <c r="N80" s="11">
        <f t="shared" si="20"/>
        <v>1580</v>
      </c>
      <c r="O80" s="16">
        <f t="shared" si="21"/>
        <v>1.3982300884955752</v>
      </c>
      <c r="P80" s="11">
        <v>1825</v>
      </c>
      <c r="Q80" s="11">
        <v>0</v>
      </c>
      <c r="R80" s="24">
        <v>12</v>
      </c>
      <c r="S80" s="11">
        <f t="shared" si="22"/>
        <v>1825</v>
      </c>
      <c r="T80" s="16">
        <f t="shared" si="23"/>
        <v>1.6150442477876106</v>
      </c>
      <c r="U80" s="11">
        <f t="shared" si="24"/>
        <v>-245</v>
      </c>
      <c r="V80" s="12">
        <f t="shared" si="25"/>
        <v>-0.13424657534246576</v>
      </c>
      <c r="W80" s="13">
        <f t="shared" si="26"/>
        <v>-0.13424657534246576</v>
      </c>
      <c r="X80" s="11"/>
      <c r="AA80" s="10">
        <v>46203</v>
      </c>
      <c r="AB80" s="10">
        <v>46567</v>
      </c>
    </row>
    <row r="81" spans="1:28" x14ac:dyDescent="0.25">
      <c r="A81" t="s">
        <v>42</v>
      </c>
      <c r="B81" t="s">
        <v>151</v>
      </c>
      <c r="C81" t="s">
        <v>72</v>
      </c>
      <c r="D81">
        <v>1130</v>
      </c>
      <c r="E81" s="15" t="s">
        <v>152</v>
      </c>
      <c r="F81" s="10">
        <v>46122</v>
      </c>
      <c r="G81">
        <f t="shared" si="17"/>
        <v>15</v>
      </c>
      <c r="H81" s="11">
        <v>1465</v>
      </c>
      <c r="I81" s="11">
        <v>1365</v>
      </c>
      <c r="J81" s="11">
        <v>0</v>
      </c>
      <c r="K81" s="11">
        <v>0</v>
      </c>
      <c r="L81" s="11">
        <f t="shared" si="18"/>
        <v>0</v>
      </c>
      <c r="M81" s="14">
        <f t="shared" si="19"/>
        <v>0</v>
      </c>
      <c r="N81" s="11">
        <f t="shared" si="20"/>
        <v>1365</v>
      </c>
      <c r="O81" s="16">
        <f t="shared" si="21"/>
        <v>1.2079646017699115</v>
      </c>
      <c r="P81" s="11">
        <v>1844</v>
      </c>
      <c r="Q81" s="11">
        <v>0</v>
      </c>
      <c r="R81" s="24">
        <v>12</v>
      </c>
      <c r="S81" s="11">
        <f t="shared" si="22"/>
        <v>1844</v>
      </c>
      <c r="T81" s="16">
        <f t="shared" si="23"/>
        <v>1.631858407079646</v>
      </c>
      <c r="U81" s="11">
        <f t="shared" si="24"/>
        <v>-479</v>
      </c>
      <c r="V81" s="12">
        <f t="shared" si="25"/>
        <v>-0.25976138828633405</v>
      </c>
      <c r="W81" s="13">
        <f t="shared" si="26"/>
        <v>-0.25976138828633405</v>
      </c>
      <c r="X81" s="11"/>
      <c r="AA81" s="10">
        <v>46122</v>
      </c>
      <c r="AB81" s="10">
        <v>46577</v>
      </c>
    </row>
    <row r="82" spans="1:28" x14ac:dyDescent="0.25">
      <c r="A82" t="s">
        <v>42</v>
      </c>
      <c r="B82" t="s">
        <v>153</v>
      </c>
      <c r="C82" t="s">
        <v>72</v>
      </c>
      <c r="D82">
        <v>1130</v>
      </c>
      <c r="E82" s="15" t="s">
        <v>154</v>
      </c>
      <c r="F82" s="10">
        <v>46123</v>
      </c>
      <c r="G82">
        <f t="shared" si="17"/>
        <v>12</v>
      </c>
      <c r="H82" s="11">
        <v>1545</v>
      </c>
      <c r="I82" s="11">
        <v>1545</v>
      </c>
      <c r="J82" s="11">
        <v>0</v>
      </c>
      <c r="K82" s="11">
        <v>0</v>
      </c>
      <c r="L82" s="11">
        <f t="shared" si="18"/>
        <v>0</v>
      </c>
      <c r="M82" s="14">
        <f t="shared" si="19"/>
        <v>0</v>
      </c>
      <c r="N82" s="11">
        <f t="shared" si="20"/>
        <v>1545</v>
      </c>
      <c r="O82" s="16">
        <f t="shared" si="21"/>
        <v>1.3672566371681416</v>
      </c>
      <c r="P82" s="11">
        <v>1880</v>
      </c>
      <c r="Q82" s="11">
        <v>0</v>
      </c>
      <c r="R82" s="24">
        <v>12</v>
      </c>
      <c r="S82" s="11">
        <f t="shared" si="22"/>
        <v>1880</v>
      </c>
      <c r="T82" s="16">
        <f t="shared" si="23"/>
        <v>1.663716814159292</v>
      </c>
      <c r="U82" s="11">
        <f t="shared" si="24"/>
        <v>-335</v>
      </c>
      <c r="V82" s="12">
        <f t="shared" si="25"/>
        <v>-0.17819148936170212</v>
      </c>
      <c r="W82" s="13">
        <f t="shared" si="26"/>
        <v>-0.17819148936170212</v>
      </c>
      <c r="X82" s="11"/>
      <c r="AA82" s="10">
        <v>46123</v>
      </c>
      <c r="AB82" s="10">
        <v>46487</v>
      </c>
    </row>
    <row r="83" spans="1:28" x14ac:dyDescent="0.25">
      <c r="A83" t="s">
        <v>42</v>
      </c>
      <c r="B83" t="s">
        <v>155</v>
      </c>
      <c r="C83" t="s">
        <v>72</v>
      </c>
      <c r="D83">
        <v>1130</v>
      </c>
      <c r="E83" s="15" t="s">
        <v>156</v>
      </c>
      <c r="F83" s="10">
        <v>46199</v>
      </c>
      <c r="G83">
        <f t="shared" si="17"/>
        <v>12</v>
      </c>
      <c r="H83" s="11">
        <v>1635</v>
      </c>
      <c r="I83" s="11">
        <v>1635</v>
      </c>
      <c r="J83" s="11">
        <v>0</v>
      </c>
      <c r="K83" s="11">
        <v>0</v>
      </c>
      <c r="L83" s="11">
        <f t="shared" si="18"/>
        <v>0</v>
      </c>
      <c r="M83" s="14">
        <f t="shared" si="19"/>
        <v>0</v>
      </c>
      <c r="N83" s="11">
        <f t="shared" si="20"/>
        <v>1635</v>
      </c>
      <c r="O83" s="16">
        <f t="shared" si="21"/>
        <v>1.4469026548672566</v>
      </c>
      <c r="P83" s="11">
        <v>1985</v>
      </c>
      <c r="Q83" s="11">
        <v>0</v>
      </c>
      <c r="R83" s="24">
        <v>12</v>
      </c>
      <c r="S83" s="11">
        <f t="shared" si="22"/>
        <v>1985</v>
      </c>
      <c r="T83" s="16">
        <f t="shared" si="23"/>
        <v>1.7566371681415929</v>
      </c>
      <c r="U83" s="11">
        <f t="shared" si="24"/>
        <v>-350</v>
      </c>
      <c r="V83" s="12">
        <f t="shared" si="25"/>
        <v>-0.17632241813602015</v>
      </c>
      <c r="W83" s="13">
        <f t="shared" si="26"/>
        <v>-0.17632241813602015</v>
      </c>
      <c r="X83" s="11"/>
      <c r="AA83" s="10">
        <v>46199</v>
      </c>
      <c r="AB83" s="10">
        <v>46563</v>
      </c>
    </row>
    <row r="84" spans="1:28" x14ac:dyDescent="0.25">
      <c r="A84" t="s">
        <v>42</v>
      </c>
      <c r="B84" t="s">
        <v>157</v>
      </c>
      <c r="C84" t="s">
        <v>72</v>
      </c>
      <c r="D84">
        <v>1130</v>
      </c>
      <c r="E84" s="15" t="s">
        <v>158</v>
      </c>
      <c r="F84" s="10">
        <v>46137</v>
      </c>
      <c r="G84">
        <f t="shared" si="17"/>
        <v>12</v>
      </c>
      <c r="H84" s="11">
        <v>1555</v>
      </c>
      <c r="I84" s="11">
        <v>1230</v>
      </c>
      <c r="J84" s="11">
        <v>0</v>
      </c>
      <c r="K84" s="11">
        <v>0</v>
      </c>
      <c r="L84" s="11">
        <f t="shared" si="18"/>
        <v>0</v>
      </c>
      <c r="M84" s="14">
        <f t="shared" si="19"/>
        <v>0</v>
      </c>
      <c r="N84" s="11">
        <f t="shared" si="20"/>
        <v>1230</v>
      </c>
      <c r="O84" s="16">
        <f t="shared" si="21"/>
        <v>1.0884955752212389</v>
      </c>
      <c r="P84" s="11">
        <v>1855</v>
      </c>
      <c r="Q84" s="11">
        <v>0</v>
      </c>
      <c r="R84" s="24">
        <v>12</v>
      </c>
      <c r="S84" s="11">
        <f t="shared" si="22"/>
        <v>1855</v>
      </c>
      <c r="T84" s="16">
        <f t="shared" si="23"/>
        <v>1.6415929203539823</v>
      </c>
      <c r="U84" s="11">
        <f t="shared" si="24"/>
        <v>-625</v>
      </c>
      <c r="V84" s="12">
        <f t="shared" si="25"/>
        <v>-0.33692722371967654</v>
      </c>
      <c r="W84" s="13">
        <f t="shared" si="26"/>
        <v>-0.33692722371967654</v>
      </c>
      <c r="X84" s="11"/>
      <c r="AA84" s="10">
        <v>46137</v>
      </c>
      <c r="AB84" s="10">
        <v>46501</v>
      </c>
    </row>
    <row r="85" spans="1:28" x14ac:dyDescent="0.25">
      <c r="A85" t="s">
        <v>42</v>
      </c>
      <c r="B85" t="s">
        <v>159</v>
      </c>
      <c r="C85" t="s">
        <v>72</v>
      </c>
      <c r="D85">
        <v>1130</v>
      </c>
      <c r="E85" s="15" t="s">
        <v>160</v>
      </c>
      <c r="F85" s="10">
        <v>46150</v>
      </c>
      <c r="G85">
        <f t="shared" si="17"/>
        <v>12</v>
      </c>
      <c r="H85" s="11">
        <v>1580</v>
      </c>
      <c r="I85" s="11">
        <v>1580</v>
      </c>
      <c r="J85" s="11">
        <v>0</v>
      </c>
      <c r="K85" s="11">
        <v>0</v>
      </c>
      <c r="L85" s="11">
        <f t="shared" si="18"/>
        <v>0</v>
      </c>
      <c r="M85" s="14">
        <f t="shared" si="19"/>
        <v>0</v>
      </c>
      <c r="N85" s="11">
        <f t="shared" si="20"/>
        <v>1580</v>
      </c>
      <c r="O85" s="16">
        <f t="shared" si="21"/>
        <v>1.3982300884955752</v>
      </c>
      <c r="P85" s="11">
        <v>1825</v>
      </c>
      <c r="Q85" s="11">
        <v>0</v>
      </c>
      <c r="R85" s="24">
        <v>12</v>
      </c>
      <c r="S85" s="11">
        <f t="shared" si="22"/>
        <v>1825</v>
      </c>
      <c r="T85" s="16">
        <f t="shared" si="23"/>
        <v>1.6150442477876106</v>
      </c>
      <c r="U85" s="11">
        <f t="shared" si="24"/>
        <v>-245</v>
      </c>
      <c r="V85" s="12">
        <f t="shared" si="25"/>
        <v>-0.13424657534246576</v>
      </c>
      <c r="W85" s="13">
        <f t="shared" si="26"/>
        <v>-0.13424657534246576</v>
      </c>
      <c r="X85" s="11"/>
      <c r="AA85" s="10">
        <v>46150</v>
      </c>
      <c r="AB85" s="10">
        <v>46514</v>
      </c>
    </row>
    <row r="86" spans="1:28" x14ac:dyDescent="0.25">
      <c r="B86" s="17"/>
      <c r="C86" s="17" t="s">
        <v>70</v>
      </c>
      <c r="D86" s="17"/>
      <c r="E86" s="18"/>
      <c r="F86" s="17"/>
      <c r="G86" s="23">
        <f t="shared" ref="G86:W86" si="27">SUBTOTAL(1,G78:G85)</f>
        <v>12.75</v>
      </c>
      <c r="H86" s="20">
        <f t="shared" si="27"/>
        <v>1543.125</v>
      </c>
      <c r="I86" s="20">
        <f t="shared" si="27"/>
        <v>1471.25</v>
      </c>
      <c r="J86" s="20">
        <f t="shared" si="27"/>
        <v>0</v>
      </c>
      <c r="K86" s="20">
        <f t="shared" si="27"/>
        <v>0</v>
      </c>
      <c r="L86" s="20">
        <f t="shared" si="27"/>
        <v>0</v>
      </c>
      <c r="M86" s="19">
        <f t="shared" si="27"/>
        <v>0</v>
      </c>
      <c r="N86" s="20">
        <f t="shared" si="27"/>
        <v>1471.25</v>
      </c>
      <c r="O86" s="21">
        <f t="shared" si="27"/>
        <v>1.3019911504424779</v>
      </c>
      <c r="P86" s="20">
        <f t="shared" si="27"/>
        <v>1835.5</v>
      </c>
      <c r="Q86" s="20">
        <f t="shared" si="27"/>
        <v>0</v>
      </c>
      <c r="R86" s="23">
        <f t="shared" si="27"/>
        <v>12</v>
      </c>
      <c r="S86" s="20">
        <f t="shared" si="27"/>
        <v>1835.5</v>
      </c>
      <c r="T86" s="21">
        <f t="shared" si="27"/>
        <v>1.6243362831858406</v>
      </c>
      <c r="U86" s="20">
        <f t="shared" si="27"/>
        <v>-364.25</v>
      </c>
      <c r="V86" s="22">
        <f t="shared" si="27"/>
        <v>-0.19866746442893901</v>
      </c>
      <c r="W86" s="22">
        <f t="shared" si="27"/>
        <v>-0.19866746442893901</v>
      </c>
      <c r="X86" s="11"/>
      <c r="AA86" s="10"/>
      <c r="AB86" s="10"/>
    </row>
    <row r="87" spans="1:28" x14ac:dyDescent="0.25">
      <c r="A87" t="s">
        <v>42</v>
      </c>
      <c r="B87" t="s">
        <v>161</v>
      </c>
      <c r="C87" t="s">
        <v>81</v>
      </c>
      <c r="D87">
        <v>550</v>
      </c>
      <c r="E87" s="15" t="s">
        <v>162</v>
      </c>
      <c r="F87" s="10">
        <v>46179</v>
      </c>
      <c r="G87">
        <f>ROUND((AB87-AA87)/30,0)</f>
        <v>12</v>
      </c>
      <c r="H87" s="11">
        <v>1181</v>
      </c>
      <c r="I87" s="11">
        <v>1181</v>
      </c>
      <c r="J87" s="11">
        <v>0</v>
      </c>
      <c r="K87" s="11">
        <v>0</v>
      </c>
      <c r="L87" s="11">
        <f>J87+K87</f>
        <v>0</v>
      </c>
      <c r="M87" s="14">
        <f>IFERROR(L87/I87,0)</f>
        <v>0</v>
      </c>
      <c r="N87" s="11">
        <f>IFERROR(((I87*G87)-L87)/G87,0)</f>
        <v>1181</v>
      </c>
      <c r="O87" s="16">
        <f>IFERROR(N87/D87,0)</f>
        <v>2.1472727272727274</v>
      </c>
      <c r="P87" s="11">
        <v>1420</v>
      </c>
      <c r="Q87" s="11">
        <v>0</v>
      </c>
      <c r="R87" s="24">
        <v>12</v>
      </c>
      <c r="S87" s="11">
        <f>IFERROR(((P87*R87)-Q87)/R87,0)</f>
        <v>1420</v>
      </c>
      <c r="T87" s="16">
        <f>IFERROR(S87/D87,0)</f>
        <v>2.581818181818182</v>
      </c>
      <c r="U87" s="11">
        <f>I87-P87</f>
        <v>-239</v>
      </c>
      <c r="V87" s="12">
        <f>IFERROR((I87-P87)/P87,0)</f>
        <v>-0.16830985915492958</v>
      </c>
      <c r="W87" s="13">
        <f>IFERROR((N87-S87)/S87,0)</f>
        <v>-0.16830985915492958</v>
      </c>
      <c r="X87" s="11"/>
      <c r="AA87" s="10">
        <v>46179</v>
      </c>
      <c r="AB87" s="10">
        <v>46543</v>
      </c>
    </row>
    <row r="88" spans="1:28" x14ac:dyDescent="0.25">
      <c r="A88" t="s">
        <v>42</v>
      </c>
      <c r="B88" t="s">
        <v>163</v>
      </c>
      <c r="C88" t="s">
        <v>81</v>
      </c>
      <c r="D88">
        <v>550</v>
      </c>
      <c r="E88" s="15" t="s">
        <v>164</v>
      </c>
      <c r="F88" s="10">
        <v>46203</v>
      </c>
      <c r="G88">
        <f>ROUND((AB88-AA88)/30,0)</f>
        <v>12</v>
      </c>
      <c r="H88" s="11">
        <v>1096</v>
      </c>
      <c r="I88" s="11">
        <v>1096</v>
      </c>
      <c r="J88" s="11">
        <v>0</v>
      </c>
      <c r="K88" s="11">
        <v>0</v>
      </c>
      <c r="L88" s="11">
        <f>J88+K88</f>
        <v>0</v>
      </c>
      <c r="M88" s="14">
        <f>IFERROR(L88/I88,0)</f>
        <v>0</v>
      </c>
      <c r="N88" s="11">
        <f>IFERROR(((I88*G88)-L88)/G88,0)</f>
        <v>1096</v>
      </c>
      <c r="O88" s="16">
        <f>IFERROR(N88/D88,0)</f>
        <v>1.9927272727272727</v>
      </c>
      <c r="P88" s="11">
        <v>1145</v>
      </c>
      <c r="Q88" s="11">
        <v>0</v>
      </c>
      <c r="R88" s="24">
        <v>7</v>
      </c>
      <c r="S88" s="11">
        <f>IFERROR(((P88*R88)-Q88)/R88,0)</f>
        <v>1145</v>
      </c>
      <c r="T88" s="16">
        <f>IFERROR(S88/D88,0)</f>
        <v>2.081818181818182</v>
      </c>
      <c r="U88" s="11">
        <f>I88-P88</f>
        <v>-49</v>
      </c>
      <c r="V88" s="12">
        <f>IFERROR((I88-P88)/P88,0)</f>
        <v>-4.2794759825327509E-2</v>
      </c>
      <c r="W88" s="13">
        <f>IFERROR((N88-S88)/S88,0)</f>
        <v>-4.2794759825327509E-2</v>
      </c>
      <c r="X88" s="11"/>
      <c r="AA88" s="10">
        <v>46203</v>
      </c>
      <c r="AB88" s="10">
        <v>46567</v>
      </c>
    </row>
    <row r="89" spans="1:28" x14ac:dyDescent="0.25">
      <c r="A89" t="s">
        <v>42</v>
      </c>
      <c r="B89" t="s">
        <v>165</v>
      </c>
      <c r="C89" t="s">
        <v>81</v>
      </c>
      <c r="D89">
        <v>550</v>
      </c>
      <c r="E89" s="15" t="s">
        <v>166</v>
      </c>
      <c r="F89" s="10">
        <v>46145</v>
      </c>
      <c r="G89">
        <f>ROUND((AB89-AA89)/30,0)</f>
        <v>12</v>
      </c>
      <c r="H89" s="11">
        <v>1176</v>
      </c>
      <c r="I89" s="11">
        <v>885</v>
      </c>
      <c r="J89" s="11">
        <v>0</v>
      </c>
      <c r="K89" s="11">
        <v>0</v>
      </c>
      <c r="L89" s="11">
        <f>J89+K89</f>
        <v>0</v>
      </c>
      <c r="M89" s="14">
        <f>IFERROR(L89/I89,0)</f>
        <v>0</v>
      </c>
      <c r="N89" s="11">
        <f>IFERROR(((I89*G89)-L89)/G89,0)</f>
        <v>885</v>
      </c>
      <c r="O89" s="16">
        <f>IFERROR(N89/D89,0)</f>
        <v>1.6090909090909091</v>
      </c>
      <c r="P89" s="11">
        <v>1020</v>
      </c>
      <c r="Q89" s="11">
        <v>0</v>
      </c>
      <c r="R89" s="24">
        <v>12</v>
      </c>
      <c r="S89" s="11">
        <f>IFERROR(((P89*R89)-Q89)/R89,0)</f>
        <v>1020</v>
      </c>
      <c r="T89" s="16">
        <f>IFERROR(S89/D89,0)</f>
        <v>1.8545454545454545</v>
      </c>
      <c r="U89" s="11">
        <f>I89-P89</f>
        <v>-135</v>
      </c>
      <c r="V89" s="12">
        <f>IFERROR((I89-P89)/P89,0)</f>
        <v>-0.13235294117647059</v>
      </c>
      <c r="W89" s="13">
        <f>IFERROR((N89-S89)/S89,0)</f>
        <v>-0.13235294117647059</v>
      </c>
      <c r="X89" s="11"/>
      <c r="AA89" s="10">
        <v>46145</v>
      </c>
      <c r="AB89" s="10">
        <v>46509</v>
      </c>
    </row>
    <row r="90" spans="1:28" x14ac:dyDescent="0.25">
      <c r="B90" s="17"/>
      <c r="C90" s="17" t="s">
        <v>89</v>
      </c>
      <c r="D90" s="17"/>
      <c r="E90" s="18"/>
      <c r="F90" s="17"/>
      <c r="G90" s="23">
        <f t="shared" ref="G90:W90" si="28">SUBTOTAL(1,G87:G89)</f>
        <v>12</v>
      </c>
      <c r="H90" s="20">
        <f t="shared" si="28"/>
        <v>1151</v>
      </c>
      <c r="I90" s="20">
        <f t="shared" si="28"/>
        <v>1054</v>
      </c>
      <c r="J90" s="20">
        <f t="shared" si="28"/>
        <v>0</v>
      </c>
      <c r="K90" s="20">
        <f t="shared" si="28"/>
        <v>0</v>
      </c>
      <c r="L90" s="20">
        <f t="shared" si="28"/>
        <v>0</v>
      </c>
      <c r="M90" s="19">
        <f t="shared" si="28"/>
        <v>0</v>
      </c>
      <c r="N90" s="20">
        <f t="shared" si="28"/>
        <v>1054</v>
      </c>
      <c r="O90" s="21">
        <f t="shared" si="28"/>
        <v>1.9163636363636367</v>
      </c>
      <c r="P90" s="20">
        <f t="shared" si="28"/>
        <v>1195</v>
      </c>
      <c r="Q90" s="20">
        <f t="shared" si="28"/>
        <v>0</v>
      </c>
      <c r="R90" s="23">
        <f t="shared" si="28"/>
        <v>10.333333333333334</v>
      </c>
      <c r="S90" s="20">
        <f t="shared" si="28"/>
        <v>1195</v>
      </c>
      <c r="T90" s="21">
        <f t="shared" si="28"/>
        <v>2.1727272727272728</v>
      </c>
      <c r="U90" s="20">
        <f t="shared" si="28"/>
        <v>-141</v>
      </c>
      <c r="V90" s="22">
        <f t="shared" si="28"/>
        <v>-0.11448585338557589</v>
      </c>
      <c r="W90" s="22">
        <f t="shared" si="28"/>
        <v>-0.11448585338557589</v>
      </c>
      <c r="X90" s="11"/>
      <c r="AA90" s="10"/>
      <c r="AB90" s="10"/>
    </row>
    <row r="91" spans="1:28" x14ac:dyDescent="0.25">
      <c r="A91" t="s">
        <v>42</v>
      </c>
      <c r="B91" t="s">
        <v>167</v>
      </c>
      <c r="C91" t="s">
        <v>91</v>
      </c>
      <c r="D91">
        <v>500</v>
      </c>
      <c r="E91" s="15" t="s">
        <v>168</v>
      </c>
      <c r="F91" s="10">
        <v>46189</v>
      </c>
      <c r="G91">
        <f>ROUND((AB91-AA91)/30,0)</f>
        <v>12</v>
      </c>
      <c r="H91" s="11">
        <v>1050</v>
      </c>
      <c r="I91" s="11">
        <v>1050</v>
      </c>
      <c r="J91" s="11">
        <v>0</v>
      </c>
      <c r="K91" s="11">
        <v>0</v>
      </c>
      <c r="L91" s="11">
        <f>J91+K91</f>
        <v>0</v>
      </c>
      <c r="M91" s="14">
        <f>IFERROR(L91/I91,0)</f>
        <v>0</v>
      </c>
      <c r="N91" s="11">
        <f>IFERROR(((I91*G91)-L91)/G91,0)</f>
        <v>1050</v>
      </c>
      <c r="O91" s="16">
        <f>IFERROR(N91/D91,0)</f>
        <v>2.1</v>
      </c>
      <c r="P91" s="11">
        <v>1240</v>
      </c>
      <c r="Q91" s="11">
        <v>0</v>
      </c>
      <c r="R91" s="24">
        <v>12</v>
      </c>
      <c r="S91" s="11">
        <f>IFERROR(((P91*R91)-Q91)/R91,0)</f>
        <v>1240</v>
      </c>
      <c r="T91" s="16">
        <f>IFERROR(S91/D91,0)</f>
        <v>2.48</v>
      </c>
      <c r="U91" s="11">
        <f>I91-P91</f>
        <v>-190</v>
      </c>
      <c r="V91" s="12">
        <f>IFERROR((I91-P91)/P91,0)</f>
        <v>-0.15322580645161291</v>
      </c>
      <c r="W91" s="13">
        <f>IFERROR((N91-S91)/S91,0)</f>
        <v>-0.15322580645161291</v>
      </c>
      <c r="X91" s="11"/>
      <c r="AA91" s="10">
        <v>46189</v>
      </c>
      <c r="AB91" s="10">
        <v>46553</v>
      </c>
    </row>
    <row r="92" spans="1:28" x14ac:dyDescent="0.25">
      <c r="A92" t="s">
        <v>42</v>
      </c>
      <c r="B92" t="s">
        <v>169</v>
      </c>
      <c r="C92" t="s">
        <v>91</v>
      </c>
      <c r="D92">
        <v>500</v>
      </c>
      <c r="E92" s="15" t="s">
        <v>170</v>
      </c>
      <c r="F92" s="10">
        <v>46191</v>
      </c>
      <c r="G92">
        <f>ROUND((AB92-AA92)/30,0)</f>
        <v>12</v>
      </c>
      <c r="H92" s="11">
        <v>1010</v>
      </c>
      <c r="I92" s="11">
        <v>1010</v>
      </c>
      <c r="J92" s="11">
        <v>0</v>
      </c>
      <c r="K92" s="11">
        <v>0</v>
      </c>
      <c r="L92" s="11">
        <f>J92+K92</f>
        <v>0</v>
      </c>
      <c r="M92" s="14">
        <f>IFERROR(L92/I92,0)</f>
        <v>0</v>
      </c>
      <c r="N92" s="11">
        <f>IFERROR(((I92*G92)-L92)/G92,0)</f>
        <v>1010</v>
      </c>
      <c r="O92" s="16">
        <f>IFERROR(N92/D92,0)</f>
        <v>2.02</v>
      </c>
      <c r="P92" s="11">
        <v>1181</v>
      </c>
      <c r="Q92" s="11">
        <v>0</v>
      </c>
      <c r="R92" s="24">
        <v>12</v>
      </c>
      <c r="S92" s="11">
        <f>IFERROR(((P92*R92)-Q92)/R92,0)</f>
        <v>1181</v>
      </c>
      <c r="T92" s="16">
        <f>IFERROR(S92/D92,0)</f>
        <v>2.3620000000000001</v>
      </c>
      <c r="U92" s="11">
        <f>I92-P92</f>
        <v>-171</v>
      </c>
      <c r="V92" s="12">
        <f>IFERROR((I92-P92)/P92,0)</f>
        <v>-0.14479254868755292</v>
      </c>
      <c r="W92" s="13">
        <f>IFERROR((N92-S92)/S92,0)</f>
        <v>-0.14479254868755292</v>
      </c>
      <c r="X92" s="11"/>
      <c r="AA92" s="10">
        <v>46191</v>
      </c>
      <c r="AB92" s="10">
        <v>46555</v>
      </c>
    </row>
    <row r="93" spans="1:28" x14ac:dyDescent="0.25">
      <c r="A93" t="s">
        <v>42</v>
      </c>
      <c r="B93" t="s">
        <v>171</v>
      </c>
      <c r="C93" t="s">
        <v>91</v>
      </c>
      <c r="D93">
        <v>500</v>
      </c>
      <c r="E93" s="15" t="s">
        <v>172</v>
      </c>
      <c r="F93" s="10">
        <v>46116</v>
      </c>
      <c r="G93">
        <f>ROUND((AB93-AA93)/30,0)</f>
        <v>12</v>
      </c>
      <c r="H93" s="11">
        <v>940</v>
      </c>
      <c r="I93" s="11">
        <v>780</v>
      </c>
      <c r="J93" s="11">
        <v>0</v>
      </c>
      <c r="K93" s="11">
        <v>0</v>
      </c>
      <c r="L93" s="11">
        <f>J93+K93</f>
        <v>0</v>
      </c>
      <c r="M93" s="14">
        <f>IFERROR(L93/I93,0)</f>
        <v>0</v>
      </c>
      <c r="N93" s="11">
        <f>IFERROR(((I93*G93)-L93)/G93,0)</f>
        <v>780</v>
      </c>
      <c r="O93" s="16">
        <f>IFERROR(N93/D93,0)</f>
        <v>1.56</v>
      </c>
      <c r="P93" s="11">
        <v>1050</v>
      </c>
      <c r="Q93" s="11">
        <v>2100</v>
      </c>
      <c r="R93" s="24">
        <v>12</v>
      </c>
      <c r="S93" s="11">
        <f>IFERROR(((P93*R93)-Q93)/R93,0)</f>
        <v>875</v>
      </c>
      <c r="T93" s="16">
        <f>IFERROR(S93/D93,0)</f>
        <v>1.75</v>
      </c>
      <c r="U93" s="11">
        <f>I93-P93</f>
        <v>-270</v>
      </c>
      <c r="V93" s="12">
        <f>IFERROR((I93-P93)/P93,0)</f>
        <v>-0.25714285714285712</v>
      </c>
      <c r="W93" s="13">
        <f>IFERROR((N93-S93)/S93,0)</f>
        <v>-0.10857142857142857</v>
      </c>
      <c r="X93" s="11"/>
      <c r="AA93" s="10">
        <v>46116</v>
      </c>
      <c r="AB93" s="10">
        <v>46480</v>
      </c>
    </row>
    <row r="94" spans="1:28" x14ac:dyDescent="0.25">
      <c r="B94" s="17"/>
      <c r="C94" s="17" t="s">
        <v>97</v>
      </c>
      <c r="D94" s="17"/>
      <c r="E94" s="18"/>
      <c r="F94" s="17"/>
      <c r="G94" s="23">
        <f t="shared" ref="G94:W94" si="29">SUBTOTAL(1,G91:G93)</f>
        <v>12</v>
      </c>
      <c r="H94" s="20">
        <f t="shared" si="29"/>
        <v>1000</v>
      </c>
      <c r="I94" s="20">
        <f t="shared" si="29"/>
        <v>946.66666666666663</v>
      </c>
      <c r="J94" s="20">
        <f t="shared" si="29"/>
        <v>0</v>
      </c>
      <c r="K94" s="20">
        <f t="shared" si="29"/>
        <v>0</v>
      </c>
      <c r="L94" s="20">
        <f t="shared" si="29"/>
        <v>0</v>
      </c>
      <c r="M94" s="19">
        <f t="shared" si="29"/>
        <v>0</v>
      </c>
      <c r="N94" s="20">
        <f t="shared" si="29"/>
        <v>946.66666666666663</v>
      </c>
      <c r="O94" s="21">
        <f t="shared" si="29"/>
        <v>1.8933333333333333</v>
      </c>
      <c r="P94" s="20">
        <f t="shared" si="29"/>
        <v>1157</v>
      </c>
      <c r="Q94" s="20">
        <f t="shared" si="29"/>
        <v>700</v>
      </c>
      <c r="R94" s="23">
        <f t="shared" si="29"/>
        <v>12</v>
      </c>
      <c r="S94" s="20">
        <f t="shared" si="29"/>
        <v>1098.6666666666667</v>
      </c>
      <c r="T94" s="21">
        <f t="shared" si="29"/>
        <v>2.1973333333333334</v>
      </c>
      <c r="U94" s="20">
        <f t="shared" si="29"/>
        <v>-210.33333333333334</v>
      </c>
      <c r="V94" s="22">
        <f t="shared" si="29"/>
        <v>-0.18505373742734099</v>
      </c>
      <c r="W94" s="22">
        <f t="shared" si="29"/>
        <v>-0.13552992790353147</v>
      </c>
      <c r="X94" s="11"/>
      <c r="AA94" s="10"/>
      <c r="AB94" s="10"/>
    </row>
    <row r="95" spans="1:28" x14ac:dyDescent="0.25">
      <c r="B95" s="17" t="s">
        <v>98</v>
      </c>
      <c r="C95" s="17"/>
      <c r="D95" s="17"/>
      <c r="E95" s="18"/>
      <c r="F95" s="17"/>
      <c r="G95" s="23">
        <f t="shared" ref="G95:W95" si="30">SUBTOTAL(1,G47:G94)</f>
        <v>12.526315789473685</v>
      </c>
      <c r="H95" s="20">
        <f t="shared" si="30"/>
        <v>1298.7631578947369</v>
      </c>
      <c r="I95" s="20">
        <f t="shared" si="30"/>
        <v>1179.2105263157894</v>
      </c>
      <c r="J95" s="20">
        <f t="shared" si="30"/>
        <v>42.10526315789474</v>
      </c>
      <c r="K95" s="20">
        <f t="shared" si="30"/>
        <v>0</v>
      </c>
      <c r="L95" s="20">
        <f t="shared" si="30"/>
        <v>42.10526315789474</v>
      </c>
      <c r="M95" s="19">
        <f t="shared" si="30"/>
        <v>3.2314092983802556E-2</v>
      </c>
      <c r="N95" s="20">
        <f t="shared" si="30"/>
        <v>1175.9716599190283</v>
      </c>
      <c r="O95" s="21">
        <f t="shared" si="30"/>
        <v>1.4660059021152276</v>
      </c>
      <c r="P95" s="20">
        <f t="shared" si="30"/>
        <v>1431.3684210526317</v>
      </c>
      <c r="Q95" s="20">
        <f t="shared" si="30"/>
        <v>306.60526315789474</v>
      </c>
      <c r="R95" s="23">
        <f t="shared" si="30"/>
        <v>11.789473684210526</v>
      </c>
      <c r="S95" s="20">
        <f t="shared" si="30"/>
        <v>1405.8508048968574</v>
      </c>
      <c r="T95" s="21">
        <f t="shared" si="30"/>
        <v>1.7366333048248908</v>
      </c>
      <c r="U95" s="20">
        <f t="shared" si="30"/>
        <v>-252.15789473684211</v>
      </c>
      <c r="V95" s="22">
        <f t="shared" si="30"/>
        <v>-0.16239312480732718</v>
      </c>
      <c r="W95" s="22">
        <f t="shared" si="30"/>
        <v>-0.14419273097152546</v>
      </c>
    </row>
  </sheetData>
  <autoFilter ref="B46:W94" xr:uid="{00000000-0001-0000-0000-000000000000}"/>
  <mergeCells count="8">
    <mergeCell ref="F4:O4"/>
    <mergeCell ref="P4:T4"/>
    <mergeCell ref="B4:E4"/>
    <mergeCell ref="U4:W4"/>
    <mergeCell ref="B45:E45"/>
    <mergeCell ref="F45:O45"/>
    <mergeCell ref="P45:T45"/>
    <mergeCell ref="U45:W45"/>
  </mergeCells>
  <conditionalFormatting sqref="B40:W40">
    <cfRule type="expression" dxfId="1" priority="4">
      <formula>SEARCH("",$B40)</formula>
    </cfRule>
  </conditionalFormatting>
  <conditionalFormatting sqref="B95:W95">
    <cfRule type="expression" dxfId="0" priority="3">
      <formula>SEARCH("",$B40)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RRG-10658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Kellea Mueller</dc:creator>
  <cp:keywords/>
  <dc:description/>
  <cp:lastModifiedBy>Megan Burrows</cp:lastModifiedBy>
  <dcterms:created xsi:type="dcterms:W3CDTF">2018-10-02T20:13:00Z</dcterms:created>
  <dcterms:modified xsi:type="dcterms:W3CDTF">2026-07-22T21:30:21Z</dcterms:modified>
  <cp:category/>
</cp:coreProperties>
</file>