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megan\Desktop\1Q26 Quarterly Investor Reporting\Boardwalk Source Files\"/>
    </mc:Choice>
  </mc:AlternateContent>
  <xr:revisionPtr revIDLastSave="0" documentId="13_ncr:1_{55A30657-26E9-4B7F-9808-B6D8347F1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ified Market Rent Schedule" sheetId="2" r:id="rId1"/>
    <sheet name="Rent Roll_03.31.26" sheetId="3" r:id="rId2"/>
    <sheet name="Report1" sheetId="1" r:id="rId3"/>
  </sheets>
  <definedNames>
    <definedName name="_xlnm.Print_Titles" localSheetId="0">'Modified Market Rent Schedule'!$1:$6</definedName>
    <definedName name="_xlnm.Print_Titles" localSheetId="1">'Rent Roll_03.31.26'!$1:$7</definedName>
    <definedName name="_xlnm.Print_Titles" localSheetId="2">Report1!$1:$6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I26" i="2"/>
  <c r="I27" i="2" s="1"/>
  <c r="H8" i="2"/>
  <c r="H9" i="2"/>
  <c r="H10" i="2"/>
  <c r="H11" i="2"/>
  <c r="H12" i="2"/>
  <c r="H13" i="2"/>
  <c r="H14" i="2"/>
  <c r="H15" i="2"/>
  <c r="H16" i="2"/>
  <c r="H17" i="2"/>
  <c r="H18" i="2"/>
  <c r="H7" i="2"/>
  <c r="G17" i="2"/>
  <c r="G16" i="2"/>
  <c r="G15" i="2"/>
  <c r="G14" i="2"/>
  <c r="G13" i="2"/>
  <c r="G12" i="2"/>
  <c r="G11" i="2"/>
  <c r="G10" i="2"/>
  <c r="G9" i="2"/>
  <c r="G8" i="2"/>
  <c r="G7" i="2"/>
  <c r="G18" i="2"/>
  <c r="G21" i="2"/>
</calcChain>
</file>

<file path=xl/sharedStrings.xml><?xml version="1.0" encoding="utf-8"?>
<sst xmlns="http://schemas.openxmlformats.org/spreadsheetml/2006/main" count="180" uniqueCount="98">
  <si>
    <t>Market Rent Schedule</t>
  </si>
  <si>
    <t>For Selected Properties</t>
  </si>
  <si>
    <t>As Of = 03/31/2026</t>
  </si>
  <si>
    <t>Unit Type</t>
  </si>
  <si>
    <t>Units</t>
  </si>
  <si>
    <t>Total</t>
  </si>
  <si>
    <t>Total Unit</t>
  </si>
  <si>
    <t>Average</t>
  </si>
  <si>
    <t>Occupied</t>
  </si>
  <si>
    <t>Rent</t>
  </si>
  <si>
    <t>Sq Ft</t>
  </si>
  <si>
    <t>Unit Rent</t>
  </si>
  <si>
    <t>Resident Rent</t>
  </si>
  <si>
    <t>1 Bedroom 1 Bathroom (BWK.A1)</t>
  </si>
  <si>
    <t>1 Bedroom 1 Bathroom (BWK.A2)</t>
  </si>
  <si>
    <t>2 Bedroom 1 Bathroom (BWK.B0)</t>
  </si>
  <si>
    <t>2 Bedroom 2 Bathroom (BWK.B1)</t>
  </si>
  <si>
    <t>2 Bedroom 1 Bathroom (BWK.B2)</t>
  </si>
  <si>
    <t>2 Bedroom 2 Bathroom (BWK.B3)</t>
  </si>
  <si>
    <t>2 Bedroom 2 Bathroom (BWK.B4)</t>
  </si>
  <si>
    <t>3 Bedroom 2 Bathroom (BWK.C1)</t>
  </si>
  <si>
    <t>3 Bedroom 2 Bathroom (BWK.C2)</t>
  </si>
  <si>
    <t>0 Bedroom 1 Bathroom (BWK.S1)</t>
  </si>
  <si>
    <t>0 Bedroom 1 Bathroom (BWK.S2)</t>
  </si>
  <si>
    <t>Grand Total</t>
  </si>
  <si>
    <t>Rent Roll</t>
  </si>
  <si>
    <t>The Boardwalk (45726)</t>
  </si>
  <si>
    <t>Month Year = 03/2026</t>
  </si>
  <si>
    <t>Property</t>
  </si>
  <si>
    <t>Name</t>
  </si>
  <si>
    <t>Market</t>
  </si>
  <si>
    <t>Resident</t>
  </si>
  <si>
    <t>Deposit</t>
  </si>
  <si>
    <t>Balance</t>
  </si>
  <si>
    <t>45726</t>
  </si>
  <si>
    <t>BWK.A1</t>
  </si>
  <si>
    <t>1 Bedroom 1 Bathroom</t>
  </si>
  <si>
    <t>BWK.A2</t>
  </si>
  <si>
    <t>BWK.B0</t>
  </si>
  <si>
    <t>2 Bedroom 1 Bathroom</t>
  </si>
  <si>
    <t>BWK.B1</t>
  </si>
  <si>
    <t>2 Bedroom 2 Bathroom</t>
  </si>
  <si>
    <t>BWK.B2</t>
  </si>
  <si>
    <t>BWK.B3</t>
  </si>
  <si>
    <t>BWK.B4</t>
  </si>
  <si>
    <t>BWK.C1</t>
  </si>
  <si>
    <t>3 Bedroom 2 Bathroom</t>
  </si>
  <si>
    <t>BWK.C2</t>
  </si>
  <si>
    <t>BWK.S1</t>
  </si>
  <si>
    <t>0 Bedroom 1 Bathroom</t>
  </si>
  <si>
    <t>BWK.S2</t>
  </si>
  <si>
    <t>FL</t>
  </si>
  <si>
    <t>The Boardwalk</t>
  </si>
  <si>
    <t>Summary Groups</t>
  </si>
  <si>
    <t>Square</t>
  </si>
  <si>
    <t>Actual</t>
  </si>
  <si>
    <t>Security</t>
  </si>
  <si>
    <t>Other</t>
  </si>
  <si>
    <t># Of</t>
  </si>
  <si>
    <t>% Unit</t>
  </si>
  <si>
    <t>% Sqft</t>
  </si>
  <si>
    <t>Footage</t>
  </si>
  <si>
    <t>Deposits</t>
  </si>
  <si>
    <t>Occupancy</t>
  </si>
  <si>
    <t>Current/Notice/Vacant Residents</t>
  </si>
  <si>
    <t>284,310.00</t>
  </si>
  <si>
    <t>397,571.00</t>
  </si>
  <si>
    <t>421,802.00</t>
  </si>
  <si>
    <t>265,980.13</t>
  </si>
  <si>
    <t>-1,000.00</t>
  </si>
  <si>
    <t>338</t>
  </si>
  <si>
    <t>91.71</t>
  </si>
  <si>
    <t>91.00</t>
  </si>
  <si>
    <t>-113,360.89</t>
  </si>
  <si>
    <t>Future Residents/Applicants</t>
  </si>
  <si>
    <t>29,510.00</t>
  </si>
  <si>
    <t>40,868.00</t>
  </si>
  <si>
    <t>0.00</t>
  </si>
  <si>
    <t>-500.00</t>
  </si>
  <si>
    <t>34</t>
  </si>
  <si>
    <t>-15,246.60</t>
  </si>
  <si>
    <t>Occupied Units</t>
  </si>
  <si>
    <t>258,734.00</t>
  </si>
  <si>
    <t>362,898.00</t>
  </si>
  <si>
    <t>310</t>
  </si>
  <si>
    <t>Total Non Rev Units</t>
  </si>
  <si>
    <t>0</t>
  </si>
  <si>
    <t>Total Vacant Units</t>
  </si>
  <si>
    <t>25,576.00</t>
  </si>
  <si>
    <t>34,673.00</t>
  </si>
  <si>
    <t>28</t>
  </si>
  <si>
    <t>8.28</t>
  </si>
  <si>
    <t>8.99</t>
  </si>
  <si>
    <t>Totals:</t>
  </si>
  <si>
    <t>-1,500.00</t>
  </si>
  <si>
    <t>100.00</t>
  </si>
  <si>
    <t>-128,607.49</t>
  </si>
  <si>
    <t>Resident Rent (RR)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</si>
</sst>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8"/>
      <name val="Tahoma"/>
    </font>
    <font>
      <sz val="8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4" fontId="3" fillId="4" borderId="4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4" fontId="9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4" fontId="0" fillId="0" borderId="0" xfId="0" applyNumberFormat="1"/>
    <xf numFmtId="4" fontId="8" fillId="4" borderId="0" xfId="0" applyNumberFormat="1" applyFont="1" applyFill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D3A07A-964A-4E2F-8E45-7C7E069CB55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d915329-285d-4d72-8bab-6d21fcefb19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5F84-52B9-43F7-B943-F0AB1FADA613}">
  <sheetPr>
    <pageSetUpPr fitToPage="1"/>
  </sheetPr>
  <dimension ref="A1:I27"/>
  <sheetViews>
    <sheetView showGridLines="0" tabSelected="1" workbookViewId="0">
      <selection activeCell="E18" sqref="E18"/>
    </sheetView>
  </sheetViews>
  <sheetFormatPr defaultColWidth="9.140625" defaultRowHeight="12.75" x14ac:dyDescent="0.2"/>
  <cols>
    <col min="1" max="1" width="35.7109375" customWidth="1"/>
    <col min="2" max="3" width="10" customWidth="1"/>
    <col min="4" max="4" width="11.42578125" customWidth="1"/>
    <col min="5" max="5" width="12.42578125" bestFit="1" customWidth="1"/>
  </cols>
  <sheetData>
    <row r="1" spans="1:8" ht="15.75" customHeight="1" x14ac:dyDescent="0.2">
      <c r="A1" s="25" t="s">
        <v>0</v>
      </c>
      <c r="B1" s="25"/>
      <c r="C1" s="25"/>
      <c r="D1" s="25"/>
      <c r="E1" s="25"/>
    </row>
    <row r="2" spans="1:8" ht="15" customHeight="1" x14ac:dyDescent="0.2">
      <c r="A2" s="26" t="s">
        <v>1</v>
      </c>
      <c r="B2" s="26"/>
      <c r="C2" s="26"/>
      <c r="D2" s="26"/>
      <c r="E2" s="26"/>
    </row>
    <row r="3" spans="1:8" ht="15" customHeight="1" x14ac:dyDescent="0.2">
      <c r="A3" s="26" t="s">
        <v>2</v>
      </c>
      <c r="B3" s="26"/>
      <c r="C3" s="26"/>
      <c r="D3" s="26"/>
      <c r="E3" s="26"/>
    </row>
    <row r="4" spans="1:8" ht="15" customHeight="1" x14ac:dyDescent="0.2">
      <c r="A4" s="1" t="s">
        <v>3</v>
      </c>
      <c r="B4" s="2" t="s">
        <v>4</v>
      </c>
      <c r="C4" s="2" t="s">
        <v>3</v>
      </c>
      <c r="D4" s="2" t="s">
        <v>8</v>
      </c>
      <c r="E4" s="2" t="s">
        <v>7</v>
      </c>
      <c r="G4" s="20" t="s">
        <v>7</v>
      </c>
    </row>
    <row r="5" spans="1:8" ht="15" customHeight="1" x14ac:dyDescent="0.2">
      <c r="A5" s="3"/>
      <c r="B5" s="4"/>
      <c r="C5" s="4" t="s">
        <v>10</v>
      </c>
      <c r="D5" s="4" t="s">
        <v>4</v>
      </c>
      <c r="E5" s="4" t="s">
        <v>12</v>
      </c>
      <c r="G5" s="20" t="s">
        <v>97</v>
      </c>
    </row>
    <row r="6" spans="1:8" ht="15" customHeight="1" x14ac:dyDescent="0.2">
      <c r="A6" s="3"/>
      <c r="B6" s="4"/>
      <c r="C6" s="4"/>
      <c r="D6" s="4"/>
      <c r="E6" s="4"/>
    </row>
    <row r="7" spans="1:8" ht="15" customHeight="1" x14ac:dyDescent="0.2">
      <c r="A7" s="5" t="s">
        <v>13</v>
      </c>
      <c r="B7" s="6">
        <v>40</v>
      </c>
      <c r="C7" s="6">
        <v>657</v>
      </c>
      <c r="D7" s="6">
        <v>38</v>
      </c>
      <c r="E7" s="6">
        <v>1205.0999999999999</v>
      </c>
      <c r="G7" s="21">
        <f>INDEX('Rent Roll_03.31.26'!$I$8:$I$18,MATCH(TRIM(MID(A7,FIND("(",A7)+1,FIND(")",A7)-FIND("(",A7)-1)),'Rent Roll_03.31.26'!$B$8:$B$18,0))</f>
        <v>1204.55263157895</v>
      </c>
      <c r="H7" s="23">
        <f>E7-G7</f>
        <v>0.54736842104989591</v>
      </c>
    </row>
    <row r="8" spans="1:8" ht="15" customHeight="1" x14ac:dyDescent="0.2">
      <c r="A8" s="7" t="s">
        <v>14</v>
      </c>
      <c r="B8" s="8">
        <v>39</v>
      </c>
      <c r="C8" s="8">
        <v>700</v>
      </c>
      <c r="D8" s="8">
        <v>36</v>
      </c>
      <c r="E8" s="8">
        <v>1204.22</v>
      </c>
      <c r="G8" s="21">
        <f>INDEX('Rent Roll_03.31.26'!$I$8:$I$18,MATCH(TRIM(MID(A8,FIND("(",A8)+1,FIND(")",A8)-FIND("(",A8)-1)),'Rent Roll_03.31.26'!$B$8:$B$18,0))</f>
        <v>1232.9722222222199</v>
      </c>
      <c r="H8" s="23">
        <f t="shared" ref="H8:H18" si="0">E8-G8</f>
        <v>-28.752222222219871</v>
      </c>
    </row>
    <row r="9" spans="1:8" ht="15" customHeight="1" x14ac:dyDescent="0.2">
      <c r="A9" s="7" t="s">
        <v>15</v>
      </c>
      <c r="B9" s="8">
        <v>52</v>
      </c>
      <c r="C9" s="8">
        <v>814</v>
      </c>
      <c r="D9" s="8">
        <v>48</v>
      </c>
      <c r="E9" s="8">
        <v>1357.95</v>
      </c>
      <c r="G9" s="21">
        <f>INDEX('Rent Roll_03.31.26'!$I$8:$I$18,MATCH(TRIM(MID(A9,FIND("(",A9)+1,FIND(")",A9)-FIND("(",A9)-1)),'Rent Roll_03.31.26'!$B$8:$B$18,0))</f>
        <v>1376.3541666666699</v>
      </c>
      <c r="H9" s="23">
        <f t="shared" si="0"/>
        <v>-18.40416666666988</v>
      </c>
    </row>
    <row r="10" spans="1:8" ht="15" customHeight="1" x14ac:dyDescent="0.2">
      <c r="A10" s="7" t="s">
        <v>16</v>
      </c>
      <c r="B10" s="8">
        <v>24</v>
      </c>
      <c r="C10" s="8">
        <v>875</v>
      </c>
      <c r="D10" s="8">
        <v>24</v>
      </c>
      <c r="E10" s="8">
        <v>1356.5</v>
      </c>
      <c r="G10" s="21">
        <f>INDEX('Rent Roll_03.31.26'!$I$8:$I$18,MATCH(TRIM(MID(A10,FIND("(",A10)+1,FIND(")",A10)-FIND("(",A10)-1)),'Rent Roll_03.31.26'!$B$8:$B$18,0))</f>
        <v>1396.375</v>
      </c>
      <c r="H10" s="23">
        <f t="shared" si="0"/>
        <v>-39.875</v>
      </c>
    </row>
    <row r="11" spans="1:8" ht="15" customHeight="1" x14ac:dyDescent="0.2">
      <c r="A11" s="7" t="s">
        <v>17</v>
      </c>
      <c r="B11" s="8">
        <v>46</v>
      </c>
      <c r="C11" s="8">
        <v>930</v>
      </c>
      <c r="D11" s="8">
        <v>41</v>
      </c>
      <c r="E11" s="8">
        <v>1306.17</v>
      </c>
      <c r="G11" s="21">
        <f>INDEX('Rent Roll_03.31.26'!$I$8:$I$18,MATCH(TRIM(MID(A11,FIND("(",A11)+1,FIND(")",A11)-FIND("(",A11)-1)),'Rent Roll_03.31.26'!$B$8:$B$18,0))</f>
        <v>1317.85365853659</v>
      </c>
      <c r="H11" s="23">
        <f t="shared" si="0"/>
        <v>-11.683658536589974</v>
      </c>
    </row>
    <row r="12" spans="1:8" ht="15" customHeight="1" x14ac:dyDescent="0.2">
      <c r="A12" s="7" t="s">
        <v>18</v>
      </c>
      <c r="B12" s="8">
        <v>12</v>
      </c>
      <c r="C12" s="8">
        <v>980</v>
      </c>
      <c r="D12" s="8">
        <v>11</v>
      </c>
      <c r="E12" s="8">
        <v>1307.18</v>
      </c>
      <c r="G12" s="21">
        <f>INDEX('Rent Roll_03.31.26'!$I$8:$I$18,MATCH(TRIM(MID(A12,FIND("(",A12)+1,FIND(")",A12)-FIND("(",A12)-1)),'Rent Roll_03.31.26'!$B$8:$B$18,0))</f>
        <v>1349</v>
      </c>
      <c r="H12" s="23">
        <f t="shared" si="0"/>
        <v>-41.819999999999936</v>
      </c>
    </row>
    <row r="13" spans="1:8" ht="15" customHeight="1" x14ac:dyDescent="0.2">
      <c r="A13" s="7" t="s">
        <v>19</v>
      </c>
      <c r="B13" s="8">
        <v>3</v>
      </c>
      <c r="C13" s="8">
        <v>1130</v>
      </c>
      <c r="D13" s="8">
        <v>2</v>
      </c>
      <c r="E13" s="8">
        <v>1627.5</v>
      </c>
      <c r="G13" s="21">
        <f>INDEX('Rent Roll_03.31.26'!$I$8:$I$18,MATCH(TRIM(MID(A13,FIND("(",A13)+1,FIND(")",A13)-FIND("(",A13)-1)),'Rent Roll_03.31.26'!$B$8:$B$18,0))</f>
        <v>1627.5</v>
      </c>
      <c r="H13" s="23">
        <f t="shared" si="0"/>
        <v>0</v>
      </c>
    </row>
    <row r="14" spans="1:8" ht="15" customHeight="1" x14ac:dyDescent="0.2">
      <c r="A14" s="7" t="s">
        <v>20</v>
      </c>
      <c r="B14" s="8">
        <v>24</v>
      </c>
      <c r="C14" s="8">
        <v>1028</v>
      </c>
      <c r="D14" s="8">
        <v>22</v>
      </c>
      <c r="E14" s="8">
        <v>1648.36</v>
      </c>
      <c r="G14" s="21">
        <f>INDEX('Rent Roll_03.31.26'!$I$8:$I$18,MATCH(TRIM(MID(A14,FIND("(",A14)+1,FIND(")",A14)-FIND("(",A14)-1)),'Rent Roll_03.31.26'!$B$8:$B$18,0))</f>
        <v>1648.0909090909099</v>
      </c>
      <c r="H14" s="23">
        <f t="shared" si="0"/>
        <v>0.26909090908998223</v>
      </c>
    </row>
    <row r="15" spans="1:8" ht="15" customHeight="1" x14ac:dyDescent="0.2">
      <c r="A15" s="7" t="s">
        <v>21</v>
      </c>
      <c r="B15" s="8">
        <v>55</v>
      </c>
      <c r="C15" s="8">
        <v>1130</v>
      </c>
      <c r="D15" s="8">
        <v>47</v>
      </c>
      <c r="E15" s="8">
        <v>1667.68</v>
      </c>
      <c r="G15" s="21">
        <f>INDEX('Rent Roll_03.31.26'!$I$8:$I$18,MATCH(TRIM(MID(A15,FIND("(",A15)+1,FIND(")",A15)-FIND("(",A15)-1)),'Rent Roll_03.31.26'!$B$8:$B$18,0))</f>
        <v>1679.91489361702</v>
      </c>
      <c r="H15" s="23">
        <f t="shared" si="0"/>
        <v>-12.234893617019907</v>
      </c>
    </row>
    <row r="16" spans="1:8" ht="15" customHeight="1" x14ac:dyDescent="0.2">
      <c r="A16" s="7" t="s">
        <v>22</v>
      </c>
      <c r="B16" s="8">
        <v>23</v>
      </c>
      <c r="C16" s="8">
        <v>550</v>
      </c>
      <c r="D16" s="8">
        <v>22</v>
      </c>
      <c r="E16" s="8">
        <v>1099.72</v>
      </c>
      <c r="G16" s="21">
        <f>INDEX('Rent Roll_03.31.26'!$I$8:$I$18,MATCH(TRIM(MID(A16,FIND("(",A16)+1,FIND(")",A16)-FIND("(",A16)-1)),'Rent Roll_03.31.26'!$B$8:$B$18,0))</f>
        <v>1103.9090909090901</v>
      </c>
      <c r="H16" s="23">
        <f t="shared" si="0"/>
        <v>-4.189090909090055</v>
      </c>
    </row>
    <row r="17" spans="1:9" ht="15" customHeight="1" x14ac:dyDescent="0.2">
      <c r="A17" s="10" t="s">
        <v>23</v>
      </c>
      <c r="B17" s="12">
        <v>20</v>
      </c>
      <c r="C17" s="12">
        <v>500</v>
      </c>
      <c r="D17" s="12">
        <v>19</v>
      </c>
      <c r="E17" s="12">
        <v>1076.47</v>
      </c>
      <c r="G17" s="21">
        <f>INDEX('Rent Roll_03.31.26'!$I$8:$I$18,MATCH(TRIM(MID(A17,FIND("(",A17)+1,FIND(")",A17)-FIND("(",A17)-1)),'Rent Roll_03.31.26'!$B$8:$B$18,0))</f>
        <v>1075.6842105263199</v>
      </c>
      <c r="H17" s="23">
        <f t="shared" si="0"/>
        <v>0.78578947368009722</v>
      </c>
    </row>
    <row r="18" spans="1:9" ht="15" customHeight="1" x14ac:dyDescent="0.2">
      <c r="A18" s="9" t="s">
        <v>24</v>
      </c>
      <c r="B18" s="11">
        <v>338</v>
      </c>
      <c r="C18" s="11">
        <v>841</v>
      </c>
      <c r="D18" s="11">
        <v>310</v>
      </c>
      <c r="E18" s="11">
        <v>1346.33</v>
      </c>
      <c r="G18" s="24">
        <f>'Rent Roll_03.31.26'!I19</f>
        <v>1360.65161290323</v>
      </c>
      <c r="H18" s="23">
        <f t="shared" si="0"/>
        <v>-14.321612903230061</v>
      </c>
    </row>
    <row r="21" spans="1:9" x14ac:dyDescent="0.2">
      <c r="G21" s="22" t="str">
        <f>'Rent Roll_03.31.26'!I22</f>
        <v>% Unit</v>
      </c>
    </row>
    <row r="24" spans="1:9" x14ac:dyDescent="0.2">
      <c r="I24">
        <v>1346</v>
      </c>
    </row>
    <row r="25" spans="1:9" x14ac:dyDescent="0.2">
      <c r="I25">
        <v>1464</v>
      </c>
    </row>
    <row r="26" spans="1:9" x14ac:dyDescent="0.2">
      <c r="I26">
        <f>I24-I25</f>
        <v>-118</v>
      </c>
    </row>
    <row r="27" spans="1:9" x14ac:dyDescent="0.2">
      <c r="I27">
        <f>I26/I24</f>
        <v>-8.7667161961367007E-2</v>
      </c>
    </row>
  </sheetData>
  <mergeCells count="3">
    <mergeCell ref="A1:E1"/>
    <mergeCell ref="A2:E2"/>
    <mergeCell ref="A3:E3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F883-4C8B-4B0A-9DB7-0919FA16C27D}">
  <sheetPr>
    <pageSetUpPr fitToPage="1"/>
  </sheetPr>
  <dimension ref="A1:K32"/>
  <sheetViews>
    <sheetView showGridLines="0" topLeftCell="A8" workbookViewId="0">
      <selection activeCell="E33" sqref="E33"/>
    </sheetView>
  </sheetViews>
  <sheetFormatPr defaultColWidth="9.140625" defaultRowHeight="12.75" x14ac:dyDescent="0.2"/>
  <cols>
    <col min="1" max="2" width="12.85546875" customWidth="1"/>
    <col min="3" max="4" width="11.42578125" customWidth="1"/>
    <col min="5" max="5" width="10.7109375" customWidth="1"/>
    <col min="6" max="10" width="11.42578125" customWidth="1"/>
    <col min="11" max="11" width="14.28515625" customWidth="1"/>
  </cols>
  <sheetData>
    <row r="1" spans="1:11" ht="15.75" customHeight="1" x14ac:dyDescent="0.2">
      <c r="A1" s="25" t="s">
        <v>25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26" t="s">
        <v>26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5" customHeight="1" x14ac:dyDescent="0.2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ht="15" customHeight="1" x14ac:dyDescent="0.2">
      <c r="A4" s="26" t="s">
        <v>27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ht="15" customHeight="1" x14ac:dyDescent="0.2">
      <c r="A5" s="1" t="s">
        <v>28</v>
      </c>
      <c r="B5" s="1" t="s">
        <v>3</v>
      </c>
      <c r="C5" s="2" t="s">
        <v>5</v>
      </c>
      <c r="D5" s="1" t="s">
        <v>29</v>
      </c>
      <c r="E5" s="2" t="s">
        <v>30</v>
      </c>
      <c r="F5" s="2" t="s">
        <v>31</v>
      </c>
      <c r="G5" s="2" t="s">
        <v>32</v>
      </c>
      <c r="H5" s="2" t="s">
        <v>7</v>
      </c>
      <c r="I5" s="2" t="s">
        <v>7</v>
      </c>
      <c r="J5" s="2" t="s">
        <v>7</v>
      </c>
      <c r="K5" s="2" t="s">
        <v>33</v>
      </c>
    </row>
    <row r="6" spans="1:11" ht="15" customHeight="1" x14ac:dyDescent="0.2">
      <c r="A6" s="3"/>
      <c r="B6" s="3"/>
      <c r="C6" s="4" t="s">
        <v>4</v>
      </c>
      <c r="D6" s="3"/>
      <c r="E6" s="4" t="s">
        <v>9</v>
      </c>
      <c r="F6" s="4" t="s">
        <v>9</v>
      </c>
      <c r="G6" s="4"/>
      <c r="H6" s="4" t="s">
        <v>30</v>
      </c>
      <c r="I6" s="4" t="s">
        <v>31</v>
      </c>
      <c r="J6" s="4" t="s">
        <v>32</v>
      </c>
      <c r="K6" s="4"/>
    </row>
    <row r="7" spans="1:11" ht="15" customHeight="1" x14ac:dyDescent="0.2">
      <c r="A7" s="3"/>
      <c r="B7" s="3"/>
      <c r="C7" s="4"/>
      <c r="D7" s="3"/>
      <c r="E7" s="4"/>
      <c r="F7" s="4"/>
      <c r="G7" s="4"/>
      <c r="H7" s="4" t="s">
        <v>9</v>
      </c>
      <c r="I7" s="4" t="s">
        <v>9</v>
      </c>
      <c r="J7" s="4"/>
      <c r="K7" s="4"/>
    </row>
    <row r="8" spans="1:11" ht="15" customHeight="1" x14ac:dyDescent="0.2">
      <c r="A8" s="5" t="s">
        <v>34</v>
      </c>
      <c r="B8" s="5" t="s">
        <v>35</v>
      </c>
      <c r="C8" s="6">
        <v>40</v>
      </c>
      <c r="D8" s="5" t="s">
        <v>36</v>
      </c>
      <c r="E8" s="6">
        <v>42385</v>
      </c>
      <c r="F8" s="6">
        <v>45773</v>
      </c>
      <c r="G8" s="6">
        <v>33705</v>
      </c>
      <c r="H8" s="6">
        <v>1059.625</v>
      </c>
      <c r="I8" s="6">
        <v>1204.55263157895</v>
      </c>
      <c r="J8" s="6">
        <v>886.97368421052602</v>
      </c>
      <c r="K8" s="6">
        <v>-15498.87</v>
      </c>
    </row>
    <row r="9" spans="1:11" ht="15" customHeight="1" x14ac:dyDescent="0.2">
      <c r="A9" s="7" t="s">
        <v>34</v>
      </c>
      <c r="B9" s="7" t="s">
        <v>37</v>
      </c>
      <c r="C9" s="8">
        <v>39</v>
      </c>
      <c r="D9" s="7" t="s">
        <v>36</v>
      </c>
      <c r="E9" s="8">
        <v>42545</v>
      </c>
      <c r="F9" s="8">
        <v>44387</v>
      </c>
      <c r="G9" s="8">
        <v>32170</v>
      </c>
      <c r="H9" s="8">
        <v>1090.8974358974399</v>
      </c>
      <c r="I9" s="8">
        <v>1232.9722222222199</v>
      </c>
      <c r="J9" s="8">
        <v>893.61111111111097</v>
      </c>
      <c r="K9" s="8">
        <v>-14064.45</v>
      </c>
    </row>
    <row r="10" spans="1:11" ht="15" customHeight="1" x14ac:dyDescent="0.2">
      <c r="A10" s="7" t="s">
        <v>34</v>
      </c>
      <c r="B10" s="7" t="s">
        <v>38</v>
      </c>
      <c r="C10" s="8">
        <v>52</v>
      </c>
      <c r="D10" s="7" t="s">
        <v>39</v>
      </c>
      <c r="E10" s="8">
        <v>61849</v>
      </c>
      <c r="F10" s="8">
        <v>66065</v>
      </c>
      <c r="G10" s="8">
        <v>41130</v>
      </c>
      <c r="H10" s="8">
        <v>1189.4038461538501</v>
      </c>
      <c r="I10" s="8">
        <v>1376.3541666666699</v>
      </c>
      <c r="J10" s="8">
        <v>856.875</v>
      </c>
      <c r="K10" s="8">
        <v>-20413.150000000001</v>
      </c>
    </row>
    <row r="11" spans="1:11" ht="15" customHeight="1" x14ac:dyDescent="0.2">
      <c r="A11" s="7" t="s">
        <v>34</v>
      </c>
      <c r="B11" s="7" t="s">
        <v>40</v>
      </c>
      <c r="C11" s="8">
        <v>24</v>
      </c>
      <c r="D11" s="7" t="s">
        <v>41</v>
      </c>
      <c r="E11" s="8">
        <v>29695</v>
      </c>
      <c r="F11" s="8">
        <v>33513</v>
      </c>
      <c r="G11" s="8">
        <v>18662</v>
      </c>
      <c r="H11" s="8">
        <v>1237.2916666666699</v>
      </c>
      <c r="I11" s="8">
        <v>1396.375</v>
      </c>
      <c r="J11" s="8">
        <v>777.58333333333303</v>
      </c>
      <c r="K11" s="8">
        <v>-3764.66</v>
      </c>
    </row>
    <row r="12" spans="1:11" ht="15" customHeight="1" x14ac:dyDescent="0.2">
      <c r="A12" s="7" t="s">
        <v>34</v>
      </c>
      <c r="B12" s="7" t="s">
        <v>42</v>
      </c>
      <c r="C12" s="8">
        <v>46</v>
      </c>
      <c r="D12" s="7" t="s">
        <v>39</v>
      </c>
      <c r="E12" s="8">
        <v>56319</v>
      </c>
      <c r="F12" s="8">
        <v>54032</v>
      </c>
      <c r="G12" s="8">
        <v>37209</v>
      </c>
      <c r="H12" s="8">
        <v>1224.3260869565199</v>
      </c>
      <c r="I12" s="8">
        <v>1317.85365853659</v>
      </c>
      <c r="J12" s="8">
        <v>907.53658536585397</v>
      </c>
      <c r="K12" s="8">
        <v>-22522.29</v>
      </c>
    </row>
    <row r="13" spans="1:11" ht="15" customHeight="1" x14ac:dyDescent="0.2">
      <c r="A13" s="7" t="s">
        <v>34</v>
      </c>
      <c r="B13" s="7" t="s">
        <v>43</v>
      </c>
      <c r="C13" s="8">
        <v>12</v>
      </c>
      <c r="D13" s="7" t="s">
        <v>41</v>
      </c>
      <c r="E13" s="8">
        <v>15890</v>
      </c>
      <c r="F13" s="8">
        <v>14839</v>
      </c>
      <c r="G13" s="8">
        <v>13253</v>
      </c>
      <c r="H13" s="8">
        <v>1324.1666666666699</v>
      </c>
      <c r="I13" s="8">
        <v>1349</v>
      </c>
      <c r="J13" s="8">
        <v>1204.8181818181799</v>
      </c>
      <c r="K13" s="8">
        <v>-5617.28</v>
      </c>
    </row>
    <row r="14" spans="1:11" ht="15" customHeight="1" x14ac:dyDescent="0.2">
      <c r="A14" s="7" t="s">
        <v>34</v>
      </c>
      <c r="B14" s="7" t="s">
        <v>44</v>
      </c>
      <c r="C14" s="8">
        <v>3</v>
      </c>
      <c r="D14" s="7" t="s">
        <v>41</v>
      </c>
      <c r="E14" s="8">
        <v>4400</v>
      </c>
      <c r="F14" s="8">
        <v>3255</v>
      </c>
      <c r="G14" s="8">
        <v>0</v>
      </c>
      <c r="H14" s="8">
        <v>1466.6666666666699</v>
      </c>
      <c r="I14" s="8">
        <v>1627.5</v>
      </c>
      <c r="J14" s="8">
        <v>0</v>
      </c>
      <c r="K14" s="8">
        <v>-1869.19</v>
      </c>
    </row>
    <row r="15" spans="1:11" ht="15" customHeight="1" x14ac:dyDescent="0.2">
      <c r="A15" s="7" t="s">
        <v>34</v>
      </c>
      <c r="B15" s="7" t="s">
        <v>45</v>
      </c>
      <c r="C15" s="8">
        <v>24</v>
      </c>
      <c r="D15" s="7" t="s">
        <v>46</v>
      </c>
      <c r="E15" s="8">
        <v>32629</v>
      </c>
      <c r="F15" s="8">
        <v>36258</v>
      </c>
      <c r="G15" s="8">
        <v>20920</v>
      </c>
      <c r="H15" s="8">
        <v>1359.5416666666699</v>
      </c>
      <c r="I15" s="8">
        <v>1648.0909090909099</v>
      </c>
      <c r="J15" s="8">
        <v>950.90909090909099</v>
      </c>
      <c r="K15" s="8">
        <v>-10629.87</v>
      </c>
    </row>
    <row r="16" spans="1:11" ht="15" customHeight="1" x14ac:dyDescent="0.2">
      <c r="A16" s="7" t="s">
        <v>34</v>
      </c>
      <c r="B16" s="7" t="s">
        <v>47</v>
      </c>
      <c r="C16" s="8">
        <v>55</v>
      </c>
      <c r="D16" s="7" t="s">
        <v>46</v>
      </c>
      <c r="E16" s="8">
        <v>75799</v>
      </c>
      <c r="F16" s="8">
        <v>78956</v>
      </c>
      <c r="G16" s="8">
        <v>35626.129999999997</v>
      </c>
      <c r="H16" s="8">
        <v>1378.1636363636401</v>
      </c>
      <c r="I16" s="8">
        <v>1679.91489361702</v>
      </c>
      <c r="J16" s="8">
        <v>758.00276595744697</v>
      </c>
      <c r="K16" s="8">
        <v>-13744.99</v>
      </c>
    </row>
    <row r="17" spans="1:11" ht="15" customHeight="1" x14ac:dyDescent="0.2">
      <c r="A17" s="7" t="s">
        <v>34</v>
      </c>
      <c r="B17" s="7" t="s">
        <v>48</v>
      </c>
      <c r="C17" s="8">
        <v>23</v>
      </c>
      <c r="D17" s="7" t="s">
        <v>49</v>
      </c>
      <c r="E17" s="8">
        <v>19745</v>
      </c>
      <c r="F17" s="8">
        <v>24286</v>
      </c>
      <c r="G17" s="8">
        <v>17115</v>
      </c>
      <c r="H17" s="8">
        <v>858.47826086956502</v>
      </c>
      <c r="I17" s="8">
        <v>1103.9090909090901</v>
      </c>
      <c r="J17" s="8">
        <v>777.95454545454504</v>
      </c>
      <c r="K17" s="8">
        <v>-12419.67</v>
      </c>
    </row>
    <row r="18" spans="1:11" ht="15" customHeight="1" x14ac:dyDescent="0.2">
      <c r="A18" s="10" t="s">
        <v>34</v>
      </c>
      <c r="B18" s="10" t="s">
        <v>50</v>
      </c>
      <c r="C18" s="12">
        <v>20</v>
      </c>
      <c r="D18" s="10" t="s">
        <v>49</v>
      </c>
      <c r="E18" s="12">
        <v>16315</v>
      </c>
      <c r="F18" s="12">
        <v>20438</v>
      </c>
      <c r="G18" s="12">
        <v>16190</v>
      </c>
      <c r="H18" s="12">
        <v>815.75</v>
      </c>
      <c r="I18" s="12">
        <v>1075.6842105263199</v>
      </c>
      <c r="J18" s="12">
        <v>852.10526315789502</v>
      </c>
      <c r="K18" s="12">
        <v>-8063.07</v>
      </c>
    </row>
    <row r="19" spans="1:11" ht="15" customHeight="1" x14ac:dyDescent="0.2">
      <c r="A19" s="9" t="s">
        <v>34</v>
      </c>
      <c r="B19" s="9" t="s">
        <v>51</v>
      </c>
      <c r="C19" s="11">
        <v>338</v>
      </c>
      <c r="D19" s="9" t="s">
        <v>52</v>
      </c>
      <c r="E19" s="11">
        <v>397571</v>
      </c>
      <c r="F19" s="11">
        <v>421802</v>
      </c>
      <c r="G19" s="11">
        <v>265980.13</v>
      </c>
      <c r="H19" s="11">
        <v>1176.2455621301799</v>
      </c>
      <c r="I19" s="19">
        <v>1360.65161290323</v>
      </c>
      <c r="J19" s="11">
        <v>858.00041935483898</v>
      </c>
      <c r="K19" s="11">
        <v>-128607.49</v>
      </c>
    </row>
    <row r="20" spans="1:11" ht="15" customHeight="1" x14ac:dyDescent="0.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 ht="15" customHeight="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ht="15" customHeight="1" x14ac:dyDescent="0.2">
      <c r="A22" s="30" t="s">
        <v>53</v>
      </c>
      <c r="B22" s="30"/>
      <c r="C22" s="13" t="s">
        <v>54</v>
      </c>
      <c r="D22" s="13" t="s">
        <v>30</v>
      </c>
      <c r="E22" s="13" t="s">
        <v>55</v>
      </c>
      <c r="F22" s="13" t="s">
        <v>56</v>
      </c>
      <c r="G22" s="13" t="s">
        <v>57</v>
      </c>
      <c r="H22" s="13" t="s">
        <v>58</v>
      </c>
      <c r="I22" s="13" t="s">
        <v>59</v>
      </c>
      <c r="J22" s="13" t="s">
        <v>60</v>
      </c>
      <c r="K22" s="13" t="s">
        <v>33</v>
      </c>
    </row>
    <row r="23" spans="1:11" ht="15" customHeight="1" x14ac:dyDescent="0.2">
      <c r="A23" s="30"/>
      <c r="B23" s="30"/>
      <c r="C23" s="13" t="s">
        <v>61</v>
      </c>
      <c r="D23" s="13" t="s">
        <v>9</v>
      </c>
      <c r="E23" s="13" t="s">
        <v>9</v>
      </c>
      <c r="F23" s="13" t="s">
        <v>32</v>
      </c>
      <c r="G23" s="13" t="s">
        <v>62</v>
      </c>
      <c r="H23" s="13" t="s">
        <v>4</v>
      </c>
      <c r="I23" s="13" t="s">
        <v>63</v>
      </c>
      <c r="J23" s="13" t="s">
        <v>8</v>
      </c>
      <c r="K23" s="13"/>
    </row>
    <row r="24" spans="1:11" ht="15" customHeight="1" x14ac:dyDescent="0.2">
      <c r="A24" s="31" t="s">
        <v>64</v>
      </c>
      <c r="B24" s="31"/>
      <c r="C24" s="15" t="s">
        <v>65</v>
      </c>
      <c r="D24" s="15" t="s">
        <v>66</v>
      </c>
      <c r="E24" s="15" t="s">
        <v>67</v>
      </c>
      <c r="F24" s="15" t="s">
        <v>68</v>
      </c>
      <c r="G24" s="15" t="s">
        <v>69</v>
      </c>
      <c r="H24" s="15" t="s">
        <v>70</v>
      </c>
      <c r="I24" s="15" t="s">
        <v>71</v>
      </c>
      <c r="J24" s="15" t="s">
        <v>72</v>
      </c>
      <c r="K24" s="15" t="s">
        <v>73</v>
      </c>
    </row>
    <row r="25" spans="1:11" ht="15" customHeight="1" x14ac:dyDescent="0.2">
      <c r="A25" s="31" t="s">
        <v>74</v>
      </c>
      <c r="B25" s="31"/>
      <c r="C25" s="15" t="s">
        <v>75</v>
      </c>
      <c r="D25" s="15" t="s">
        <v>76</v>
      </c>
      <c r="E25" s="15" t="s">
        <v>77</v>
      </c>
      <c r="F25" s="15" t="s">
        <v>77</v>
      </c>
      <c r="G25" s="15" t="s">
        <v>78</v>
      </c>
      <c r="H25" s="15" t="s">
        <v>79</v>
      </c>
      <c r="I25" s="14"/>
      <c r="J25" s="14"/>
      <c r="K25" s="15" t="s">
        <v>80</v>
      </c>
    </row>
    <row r="26" spans="1:11" ht="15" customHeight="1" x14ac:dyDescent="0.2">
      <c r="A26" s="31" t="s">
        <v>81</v>
      </c>
      <c r="B26" s="31"/>
      <c r="C26" s="15" t="s">
        <v>82</v>
      </c>
      <c r="D26" s="15" t="s">
        <v>83</v>
      </c>
      <c r="E26" s="14"/>
      <c r="F26" s="14"/>
      <c r="G26" s="14"/>
      <c r="H26" s="15" t="s">
        <v>84</v>
      </c>
      <c r="I26" s="15" t="s">
        <v>71</v>
      </c>
      <c r="J26" s="15" t="s">
        <v>72</v>
      </c>
      <c r="K26" s="14"/>
    </row>
    <row r="27" spans="1:11" ht="15" customHeight="1" x14ac:dyDescent="0.2">
      <c r="A27" s="31" t="s">
        <v>85</v>
      </c>
      <c r="B27" s="31"/>
      <c r="C27" s="15" t="s">
        <v>77</v>
      </c>
      <c r="D27" s="15" t="s">
        <v>77</v>
      </c>
      <c r="E27" s="14"/>
      <c r="F27" s="14"/>
      <c r="G27" s="14"/>
      <c r="H27" s="15" t="s">
        <v>86</v>
      </c>
      <c r="I27" s="15" t="s">
        <v>77</v>
      </c>
      <c r="J27" s="15" t="s">
        <v>77</v>
      </c>
      <c r="K27" s="14"/>
    </row>
    <row r="28" spans="1:11" ht="15" customHeight="1" x14ac:dyDescent="0.2">
      <c r="A28" s="27" t="s">
        <v>87</v>
      </c>
      <c r="B28" s="27"/>
      <c r="C28" s="17" t="s">
        <v>88</v>
      </c>
      <c r="D28" s="17" t="s">
        <v>89</v>
      </c>
      <c r="E28" s="16"/>
      <c r="F28" s="16"/>
      <c r="G28" s="16"/>
      <c r="H28" s="17" t="s">
        <v>90</v>
      </c>
      <c r="I28" s="17" t="s">
        <v>91</v>
      </c>
      <c r="J28" s="17" t="s">
        <v>92</v>
      </c>
      <c r="K28" s="16"/>
    </row>
    <row r="29" spans="1:11" ht="15" customHeight="1" x14ac:dyDescent="0.2">
      <c r="A29" s="28" t="s">
        <v>93</v>
      </c>
      <c r="B29" s="28"/>
      <c r="C29" s="18" t="s">
        <v>65</v>
      </c>
      <c r="D29" s="18" t="s">
        <v>66</v>
      </c>
      <c r="E29" s="18" t="s">
        <v>67</v>
      </c>
      <c r="F29" s="18" t="s">
        <v>68</v>
      </c>
      <c r="G29" s="18" t="s">
        <v>94</v>
      </c>
      <c r="H29" s="18" t="s">
        <v>70</v>
      </c>
      <c r="I29" s="18" t="s">
        <v>95</v>
      </c>
      <c r="J29" s="18" t="s">
        <v>95</v>
      </c>
      <c r="K29" s="18" t="s">
        <v>96</v>
      </c>
    </row>
    <row r="30" spans="1:11" ht="15" customHeight="1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ht="15" customHeight="1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2">
      <c r="E32">
        <f>E29/H26</f>
        <v>1360.6516129032259</v>
      </c>
    </row>
  </sheetData>
  <mergeCells count="16">
    <mergeCell ref="A21:K21"/>
    <mergeCell ref="A1:K1"/>
    <mergeCell ref="A2:K2"/>
    <mergeCell ref="A3:K3"/>
    <mergeCell ref="A4:K4"/>
    <mergeCell ref="A20:K20"/>
    <mergeCell ref="A28:B28"/>
    <mergeCell ref="A29:B29"/>
    <mergeCell ref="A30:K30"/>
    <mergeCell ref="A31:K31"/>
    <mergeCell ref="A22:B22"/>
    <mergeCell ref="A23:B23"/>
    <mergeCell ref="A24:B24"/>
    <mergeCell ref="A25:B25"/>
    <mergeCell ref="A26:B26"/>
    <mergeCell ref="A27:B27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showGridLines="0" workbookViewId="0">
      <selection activeCell="F31" sqref="F31"/>
    </sheetView>
  </sheetViews>
  <sheetFormatPr defaultColWidth="9.140625" defaultRowHeight="12.75" x14ac:dyDescent="0.2"/>
  <cols>
    <col min="1" max="1" width="35.7109375" customWidth="1"/>
    <col min="2" max="4" width="10" customWidth="1"/>
    <col min="5" max="8" width="11.42578125" customWidth="1"/>
    <col min="9" max="9" width="15" customWidth="1"/>
  </cols>
  <sheetData>
    <row r="1" spans="1:9" ht="15.7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15" customHeight="1" x14ac:dyDescent="0.2">
      <c r="A2" s="26" t="s">
        <v>1</v>
      </c>
      <c r="B2" s="26"/>
      <c r="C2" s="26"/>
      <c r="D2" s="26"/>
      <c r="E2" s="26"/>
      <c r="F2" s="26"/>
      <c r="G2" s="26"/>
      <c r="H2" s="26"/>
      <c r="I2" s="26"/>
    </row>
    <row r="3" spans="1:9" ht="15" customHeight="1" x14ac:dyDescent="0.2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9" ht="15" customHeight="1" x14ac:dyDescent="0.2">
      <c r="A4" s="1" t="s">
        <v>3</v>
      </c>
      <c r="B4" s="2" t="s">
        <v>4</v>
      </c>
      <c r="C4" s="2" t="s">
        <v>3</v>
      </c>
      <c r="D4" s="2" t="s">
        <v>3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7</v>
      </c>
    </row>
    <row r="5" spans="1:9" ht="15" customHeight="1" x14ac:dyDescent="0.2">
      <c r="A5" s="3"/>
      <c r="B5" s="4"/>
      <c r="C5" s="4" t="s">
        <v>9</v>
      </c>
      <c r="D5" s="4" t="s">
        <v>10</v>
      </c>
      <c r="E5" s="4" t="s">
        <v>3</v>
      </c>
      <c r="F5" s="4" t="s">
        <v>9</v>
      </c>
      <c r="G5" s="4" t="s">
        <v>11</v>
      </c>
      <c r="H5" s="4" t="s">
        <v>4</v>
      </c>
      <c r="I5" s="4" t="s">
        <v>12</v>
      </c>
    </row>
    <row r="6" spans="1:9" ht="15" customHeight="1" x14ac:dyDescent="0.2">
      <c r="A6" s="3"/>
      <c r="B6" s="4"/>
      <c r="C6" s="4"/>
      <c r="D6" s="4"/>
      <c r="E6" s="4" t="s">
        <v>9</v>
      </c>
      <c r="F6" s="4"/>
      <c r="G6" s="4"/>
      <c r="H6" s="4"/>
      <c r="I6" s="4"/>
    </row>
    <row r="7" spans="1:9" ht="15" customHeight="1" x14ac:dyDescent="0.2">
      <c r="A7" s="5" t="s">
        <v>13</v>
      </c>
      <c r="B7" s="6">
        <v>40</v>
      </c>
      <c r="C7" s="6">
        <v>914</v>
      </c>
      <c r="D7" s="6">
        <v>657</v>
      </c>
      <c r="E7" s="6">
        <v>36560</v>
      </c>
      <c r="F7" s="6">
        <v>42385</v>
      </c>
      <c r="G7" s="6">
        <v>1059.6199999999999</v>
      </c>
      <c r="H7" s="6">
        <v>38</v>
      </c>
      <c r="I7" s="6">
        <v>1205.0999999999999</v>
      </c>
    </row>
    <row r="8" spans="1:9" ht="15" customHeight="1" x14ac:dyDescent="0.2">
      <c r="A8" s="7" t="s">
        <v>14</v>
      </c>
      <c r="B8" s="8">
        <v>39</v>
      </c>
      <c r="C8" s="8">
        <v>1010</v>
      </c>
      <c r="D8" s="8">
        <v>700</v>
      </c>
      <c r="E8" s="8">
        <v>39390</v>
      </c>
      <c r="F8" s="8">
        <v>42545</v>
      </c>
      <c r="G8" s="8">
        <v>1090.8900000000001</v>
      </c>
      <c r="H8" s="8">
        <v>36</v>
      </c>
      <c r="I8" s="8">
        <v>1204.22</v>
      </c>
    </row>
    <row r="9" spans="1:9" ht="15" customHeight="1" x14ac:dyDescent="0.2">
      <c r="A9" s="7" t="s">
        <v>15</v>
      </c>
      <c r="B9" s="8">
        <v>52</v>
      </c>
      <c r="C9" s="8">
        <v>1140</v>
      </c>
      <c r="D9" s="8">
        <v>814</v>
      </c>
      <c r="E9" s="8">
        <v>59280</v>
      </c>
      <c r="F9" s="8">
        <v>61849</v>
      </c>
      <c r="G9" s="8">
        <v>1189.4000000000001</v>
      </c>
      <c r="H9" s="8">
        <v>48</v>
      </c>
      <c r="I9" s="8">
        <v>1357.95</v>
      </c>
    </row>
    <row r="10" spans="1:9" ht="15" customHeight="1" x14ac:dyDescent="0.2">
      <c r="A10" s="7" t="s">
        <v>16</v>
      </c>
      <c r="B10" s="8">
        <v>24</v>
      </c>
      <c r="C10" s="8">
        <v>1184</v>
      </c>
      <c r="D10" s="8">
        <v>875</v>
      </c>
      <c r="E10" s="8">
        <v>28416</v>
      </c>
      <c r="F10" s="8">
        <v>29695</v>
      </c>
      <c r="G10" s="8">
        <v>1237.29</v>
      </c>
      <c r="H10" s="8">
        <v>24</v>
      </c>
      <c r="I10" s="8">
        <v>1356.5</v>
      </c>
    </row>
    <row r="11" spans="1:9" ht="15" customHeight="1" x14ac:dyDescent="0.2">
      <c r="A11" s="7" t="s">
        <v>17</v>
      </c>
      <c r="B11" s="8">
        <v>46</v>
      </c>
      <c r="C11" s="8">
        <v>1133</v>
      </c>
      <c r="D11" s="8">
        <v>930</v>
      </c>
      <c r="E11" s="8">
        <v>52118</v>
      </c>
      <c r="F11" s="8">
        <v>56319</v>
      </c>
      <c r="G11" s="8">
        <v>1224.32</v>
      </c>
      <c r="H11" s="8">
        <v>41</v>
      </c>
      <c r="I11" s="8">
        <v>1306.17</v>
      </c>
    </row>
    <row r="12" spans="1:9" ht="15" customHeight="1" x14ac:dyDescent="0.2">
      <c r="A12" s="7" t="s">
        <v>18</v>
      </c>
      <c r="B12" s="8">
        <v>12</v>
      </c>
      <c r="C12" s="8">
        <v>1145</v>
      </c>
      <c r="D12" s="8">
        <v>980</v>
      </c>
      <c r="E12" s="8">
        <v>13740</v>
      </c>
      <c r="F12" s="8">
        <v>15890</v>
      </c>
      <c r="G12" s="8">
        <v>1324.16</v>
      </c>
      <c r="H12" s="8">
        <v>11</v>
      </c>
      <c r="I12" s="8">
        <v>1307.18</v>
      </c>
    </row>
    <row r="13" spans="1:9" ht="15" customHeight="1" x14ac:dyDescent="0.2">
      <c r="A13" s="7" t="s">
        <v>19</v>
      </c>
      <c r="B13" s="8">
        <v>3</v>
      </c>
      <c r="C13" s="8">
        <v>1280</v>
      </c>
      <c r="D13" s="8">
        <v>1130</v>
      </c>
      <c r="E13" s="8">
        <v>3840</v>
      </c>
      <c r="F13" s="8">
        <v>4400</v>
      </c>
      <c r="G13" s="8">
        <v>1466.66</v>
      </c>
      <c r="H13" s="8">
        <v>2</v>
      </c>
      <c r="I13" s="8">
        <v>1627.5</v>
      </c>
    </row>
    <row r="14" spans="1:9" ht="15" customHeight="1" x14ac:dyDescent="0.2">
      <c r="A14" s="7" t="s">
        <v>20</v>
      </c>
      <c r="B14" s="8">
        <v>24</v>
      </c>
      <c r="C14" s="8">
        <v>1342</v>
      </c>
      <c r="D14" s="8">
        <v>1028</v>
      </c>
      <c r="E14" s="8">
        <v>32208</v>
      </c>
      <c r="F14" s="8">
        <v>32629</v>
      </c>
      <c r="G14" s="8">
        <v>1359.54</v>
      </c>
      <c r="H14" s="8">
        <v>22</v>
      </c>
      <c r="I14" s="8">
        <v>1648.36</v>
      </c>
    </row>
    <row r="15" spans="1:9" ht="15" customHeight="1" x14ac:dyDescent="0.2">
      <c r="A15" s="7" t="s">
        <v>21</v>
      </c>
      <c r="B15" s="8">
        <v>55</v>
      </c>
      <c r="C15" s="8">
        <v>1345</v>
      </c>
      <c r="D15" s="8">
        <v>1130</v>
      </c>
      <c r="E15" s="8">
        <v>73975</v>
      </c>
      <c r="F15" s="8">
        <v>75799</v>
      </c>
      <c r="G15" s="8">
        <v>1378.16</v>
      </c>
      <c r="H15" s="8">
        <v>47</v>
      </c>
      <c r="I15" s="8">
        <v>1667.68</v>
      </c>
    </row>
    <row r="16" spans="1:9" ht="15" customHeight="1" x14ac:dyDescent="0.2">
      <c r="A16" s="7" t="s">
        <v>22</v>
      </c>
      <c r="B16" s="8">
        <v>23</v>
      </c>
      <c r="C16" s="8">
        <v>901</v>
      </c>
      <c r="D16" s="8">
        <v>550</v>
      </c>
      <c r="E16" s="8">
        <v>20723</v>
      </c>
      <c r="F16" s="8">
        <v>19745</v>
      </c>
      <c r="G16" s="8">
        <v>858.47</v>
      </c>
      <c r="H16" s="8">
        <v>22</v>
      </c>
      <c r="I16" s="8">
        <v>1099.72</v>
      </c>
    </row>
    <row r="17" spans="1:9" ht="15" customHeight="1" x14ac:dyDescent="0.2">
      <c r="A17" s="10" t="s">
        <v>23</v>
      </c>
      <c r="B17" s="12">
        <v>20</v>
      </c>
      <c r="C17" s="12">
        <v>885</v>
      </c>
      <c r="D17" s="12">
        <v>500</v>
      </c>
      <c r="E17" s="12">
        <v>17700</v>
      </c>
      <c r="F17" s="12">
        <v>16315</v>
      </c>
      <c r="G17" s="12">
        <v>815.75</v>
      </c>
      <c r="H17" s="12">
        <v>19</v>
      </c>
      <c r="I17" s="12">
        <v>1076.47</v>
      </c>
    </row>
    <row r="18" spans="1:9" ht="15" customHeight="1" x14ac:dyDescent="0.2">
      <c r="A18" s="9" t="s">
        <v>24</v>
      </c>
      <c r="B18" s="11">
        <v>338</v>
      </c>
      <c r="C18" s="11">
        <v>1118.19</v>
      </c>
      <c r="D18" s="11">
        <v>841</v>
      </c>
      <c r="E18" s="11">
        <v>377950</v>
      </c>
      <c r="F18" s="11">
        <v>397571</v>
      </c>
      <c r="G18" s="11">
        <v>1176.24</v>
      </c>
      <c r="H18" s="11">
        <v>310</v>
      </c>
      <c r="I18" s="11">
        <v>1346.33</v>
      </c>
    </row>
  </sheetData>
  <mergeCells count="3">
    <mergeCell ref="A1:I1"/>
    <mergeCell ref="A2:I2"/>
    <mergeCell ref="A3:I3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I6 A7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Modified Market Rent Schedule</vt:lpstr>
      <vt:lpstr>Rent Roll_03.31.26</vt:lpstr>
      <vt:lpstr>Report1</vt:lpstr>
      <vt:lpstr>'Modified Market Rent Schedule'!Print_Titles</vt:lpstr>
      <vt:lpstr>'Rent Roll_03.31.26'!Print_Titles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Burrows</dc:creator>
  <cp:keywords/>
  <dc:description/>
  <cp:lastModifiedBy>Megan Burrows</cp:lastModifiedBy>
  <dcterms:created xsi:type="dcterms:W3CDTF">2026-05-06T23:03:16Z</dcterms:created>
  <dcterms:modified xsi:type="dcterms:W3CDTF">2026-05-07T21:09:19Z</dcterms:modified>
  <cp:category/>
  <cp:contentStatus/>
</cp:coreProperties>
</file>